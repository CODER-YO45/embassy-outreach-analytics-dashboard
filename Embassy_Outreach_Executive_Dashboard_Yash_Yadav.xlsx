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yash7\Downloads\"/>
    </mc:Choice>
  </mc:AlternateContent>
  <xr:revisionPtr revIDLastSave="0" documentId="8_{4DDA1654-D1DD-48CD-A9D6-21DA2F65C8CE}" xr6:coauthVersionLast="47" xr6:coauthVersionMax="47" xr10:uidLastSave="{00000000-0000-0000-0000-000000000000}"/>
  <bookViews>
    <workbookView xWindow="-108" yWindow="-108" windowWidth="23256" windowHeight="13176" activeTab="4" xr2:uid="{00000000-000D-0000-FFFF-FFFF00000000}"/>
  </bookViews>
  <sheets>
    <sheet name="Project_Summary" sheetId="7" r:id="rId1"/>
    <sheet name="Database" sheetId="1" r:id="rId2"/>
    <sheet name="Summary_View" sheetId="3" r:id="rId3"/>
    <sheet name="Data Quality Review" sheetId="5" r:id="rId4"/>
    <sheet name="Dashboard" sheetId="4" r:id="rId5"/>
  </sheets>
  <definedNames>
    <definedName name="Slicer_Region">#N/A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4" l="1"/>
  <c r="F4" i="4"/>
  <c r="D4" i="4"/>
  <c r="B4" i="4"/>
  <c r="J2" i="1"/>
  <c r="J3" i="1"/>
  <c r="J4" i="1"/>
  <c r="J5" i="1"/>
  <c r="J6" i="1"/>
  <c r="J7" i="1"/>
  <c r="J8" i="1"/>
  <c r="J9" i="1"/>
  <c r="J10" i="1"/>
  <c r="J11" i="1"/>
  <c r="J12" i="1"/>
  <c r="J13" i="1"/>
  <c r="J14" i="1"/>
  <c r="J15" i="1"/>
  <c r="J16" i="1"/>
  <c r="H3" i="1"/>
  <c r="H4" i="1"/>
  <c r="H5" i="1"/>
  <c r="H6" i="1"/>
  <c r="H7" i="1"/>
  <c r="H8" i="1"/>
  <c r="H9" i="1"/>
  <c r="H10" i="1"/>
  <c r="H11" i="1"/>
  <c r="H12" i="1"/>
  <c r="H13" i="1"/>
  <c r="H14" i="1"/>
  <c r="H15" i="1"/>
  <c r="H16" i="1"/>
  <c r="H2" i="1"/>
  <c r="C16" i="1"/>
  <c r="L15" i="1"/>
  <c r="C15" i="1"/>
  <c r="L14" i="1"/>
  <c r="C14" i="1"/>
  <c r="C13" i="1"/>
  <c r="L12" i="1"/>
  <c r="C12" i="1"/>
  <c r="L11" i="1"/>
  <c r="C11" i="1"/>
  <c r="L10" i="1"/>
  <c r="C10" i="1"/>
  <c r="L9" i="1"/>
  <c r="C9" i="1"/>
  <c r="L8" i="1"/>
  <c r="C8" i="1"/>
  <c r="C7" i="1"/>
  <c r="L6" i="1"/>
  <c r="C6" i="1"/>
  <c r="L5" i="1"/>
  <c r="C5" i="1"/>
  <c r="L4" i="1"/>
  <c r="C4" i="1"/>
  <c r="L3" i="1"/>
  <c r="C3" i="1"/>
  <c r="L2" i="1"/>
  <c r="C2" i="1"/>
  <c r="J4" i="4" l="1"/>
</calcChain>
</file>

<file path=xl/sharedStrings.xml><?xml version="1.0" encoding="utf-8"?>
<sst xmlns="http://schemas.openxmlformats.org/spreadsheetml/2006/main" count="222" uniqueCount="136">
  <si>
    <t>Embassy_ID</t>
  </si>
  <si>
    <t>Embassy_Name</t>
  </si>
  <si>
    <t>Region</t>
  </si>
  <si>
    <t>Contact_Date</t>
  </si>
  <si>
    <t>Status</t>
  </si>
  <si>
    <t>Engagement_Level</t>
  </si>
  <si>
    <t>Last_FollowUp</t>
  </si>
  <si>
    <t>Notes</t>
  </si>
  <si>
    <t>EMB-001</t>
  </si>
  <si>
    <t>Embassy of the United States</t>
  </si>
  <si>
    <t>North America</t>
  </si>
  <si>
    <t>India</t>
  </si>
  <si>
    <t>2026-08-10</t>
  </si>
  <si>
    <t>Active</t>
  </si>
  <si>
    <t>High</t>
  </si>
  <si>
    <t>2026-09-12</t>
  </si>
  <si>
    <t>Expressed strong interest in trade data.</t>
  </si>
  <si>
    <t>EMB-002</t>
  </si>
  <si>
    <t>British High Commission</t>
  </si>
  <si>
    <t>Europe</t>
  </si>
  <si>
    <t>2026-08-12</t>
  </si>
  <si>
    <t>Pending</t>
  </si>
  <si>
    <t>Medium</t>
  </si>
  <si>
    <t>2026-09-15</t>
  </si>
  <si>
    <t>Awaiting formal response on proposal.</t>
  </si>
  <si>
    <t>EMB-003</t>
  </si>
  <si>
    <t>Embassy of France</t>
  </si>
  <si>
    <t>2026-08-15</t>
  </si>
  <si>
    <t>2026-09-18</t>
  </si>
  <si>
    <t>Scheduled joint webinar session.</t>
  </si>
  <si>
    <t>EMB-004</t>
  </si>
  <si>
    <t>Embassy of Japan</t>
  </si>
  <si>
    <t>Asia-Pacific</t>
  </si>
  <si>
    <t>2026-08-18</t>
  </si>
  <si>
    <t>Closed</t>
  </si>
  <si>
    <t>Low</t>
  </si>
  <si>
    <t>2026-08-30</t>
  </si>
  <si>
    <t>Declined due to scheduling conflicts.</t>
  </si>
  <si>
    <t>EMB-005</t>
  </si>
  <si>
    <t>Embassy of Germany</t>
  </si>
  <si>
    <t>2026-08-20</t>
  </si>
  <si>
    <t>2026-09-20</t>
  </si>
  <si>
    <t>Shared quarterly reporting metrics.</t>
  </si>
  <si>
    <t>EMB-006</t>
  </si>
  <si>
    <t>Embassy of Australia</t>
  </si>
  <si>
    <t>2026-08-22</t>
  </si>
  <si>
    <t>Missing follow-up date noted for review.</t>
  </si>
  <si>
    <t>EMB-007</t>
  </si>
  <si>
    <t>Embassy of Canada</t>
  </si>
  <si>
    <t>2026-08-25</t>
  </si>
  <si>
    <t>2026-09-22</t>
  </si>
  <si>
    <t>Collaborating on bilateral trade index.</t>
  </si>
  <si>
    <t>EMB-008</t>
  </si>
  <si>
    <t>Embassy of Brazil</t>
  </si>
  <si>
    <t>Latin America</t>
  </si>
  <si>
    <t>2026-08-28</t>
  </si>
  <si>
    <t>2026-09-05</t>
  </si>
  <si>
    <t>Initial introductory email sent.</t>
  </si>
  <si>
    <t>EMB-009</t>
  </si>
  <si>
    <t>Embassy of South Africa</t>
  </si>
  <si>
    <t>Africa</t>
  </si>
  <si>
    <t>2026-09-01</t>
  </si>
  <si>
    <t>2026-09-25</t>
  </si>
  <si>
    <t>Requested further documentation.</t>
  </si>
  <si>
    <t>EMB-010</t>
  </si>
  <si>
    <t>Embassy of UAE</t>
  </si>
  <si>
    <t>Middle East</t>
  </si>
  <si>
    <t>2026-09-03</t>
  </si>
  <si>
    <t>2026-09-26</t>
  </si>
  <si>
    <t>Partnership agreement under review.</t>
  </si>
  <si>
    <t>EMB-011</t>
  </si>
  <si>
    <t>Embassy of Singapore</t>
  </si>
  <si>
    <t>2026-09-27</t>
  </si>
  <si>
    <t>High engagement on digital trade initiative.</t>
  </si>
  <si>
    <t>EMB-012</t>
  </si>
  <si>
    <t>Embassy of Italy</t>
  </si>
  <si>
    <t>Missing contact date and follow-up data quality issue.</t>
  </si>
  <si>
    <t>EMB-013</t>
  </si>
  <si>
    <t>Embassy of South Korea</t>
  </si>
  <si>
    <t>2026-09-10</t>
  </si>
  <si>
    <t>2026-09-28</t>
  </si>
  <si>
    <t>Follow-up meeting booked.</t>
  </si>
  <si>
    <t>EMB-014</t>
  </si>
  <si>
    <t>Embassy of Russia</t>
  </si>
  <si>
    <t>No further action required currently.</t>
  </si>
  <si>
    <t>EMB-015</t>
  </si>
  <si>
    <t>Embassy of Argentina</t>
  </si>
  <si>
    <t>Pending initial outreach response.</t>
  </si>
  <si>
    <t>Host_Country</t>
  </si>
  <si>
    <t>Represented_Nation</t>
  </si>
  <si>
    <t>To be determined</t>
  </si>
  <si>
    <t>Engagement_Score</t>
  </si>
  <si>
    <t>FollowUp_Delay</t>
  </si>
  <si>
    <t>Row Labels</t>
  </si>
  <si>
    <t>Grand Total</t>
  </si>
  <si>
    <t>Count of Embassy_ID</t>
  </si>
  <si>
    <t>IsActive</t>
  </si>
  <si>
    <t>Average of FollowUp_Delay</t>
  </si>
  <si>
    <t>Average of IsActive</t>
  </si>
  <si>
    <t>Average of Engagement_Score</t>
  </si>
  <si>
    <t>Embassy Outreach - Executive Leadership Dashboard</t>
  </si>
  <si>
    <t>Total Embassies</t>
  </si>
  <si>
    <t>Active Count</t>
  </si>
  <si>
    <t>Pending count</t>
  </si>
  <si>
    <t>Closed count</t>
  </si>
  <si>
    <t>Active Conversion Rate</t>
  </si>
  <si>
    <t>Regional Performance Breakdown</t>
  </si>
  <si>
    <t>Outreach Count</t>
  </si>
  <si>
    <t>Active Share (%)</t>
  </si>
  <si>
    <t>Avg Follow-Up Delay</t>
  </si>
  <si>
    <t>Embassy Outreach - Data Quality &amp; Audit Review</t>
  </si>
  <si>
    <t>Audit Category</t>
  </si>
  <si>
    <t>Description</t>
  </si>
  <si>
    <t>Impact Level</t>
  </si>
  <si>
    <t>Resolution</t>
  </si>
  <si>
    <t>Entity Naming</t>
  </si>
  <si>
    <t>Resolved</t>
  </si>
  <si>
    <t>Reference Record</t>
  </si>
  <si>
    <t>Review Date</t>
  </si>
  <si>
    <t>Maintained uniform naming conventions across all rows</t>
  </si>
  <si>
    <t>Standardized embassy and high commission names, keeping official titles intact.</t>
  </si>
  <si>
    <t>Missing Contact Date</t>
  </si>
  <si>
    <t>Embassy of Italy (EMB-012) contains a blank contact date field in the raw log.</t>
  </si>
  <si>
    <t>Flagged for schedule verification and administrative follow-up.</t>
  </si>
  <si>
    <t>In Progress</t>
  </si>
  <si>
    <t>All 15 Embassy IDs</t>
  </si>
  <si>
    <t>Missing Follow-Up Dates</t>
  </si>
  <si>
    <t>Embassy of Australia (EMB-006) and Argentina (EMB-015) contain blank follow-up timestamps.</t>
  </si>
  <si>
    <t>EMB-006, EMB-015</t>
  </si>
  <si>
    <t>Marked for outreach timeline audit and log update.</t>
  </si>
  <si>
    <t>Metric Integrity</t>
  </si>
  <si>
    <t>Verified total population of 15 embassies and confirmed 53.3% active conversion rate match</t>
  </si>
  <si>
    <t>Summary_View &amp; Dashboard</t>
  </si>
  <si>
    <t>Cross-checked summary calculations with dashboard KPIs to ensure 100% accuracy.</t>
  </si>
  <si>
    <t>EMBASSY OUTREACH &amp; DIPLOMATIC ENGAGEMENT: EXECUTIVE BRIEFING</t>
  </si>
  <si>
    <r>
      <rPr>
        <b/>
        <sz val="11"/>
        <color theme="1"/>
        <rFont val="Calibri"/>
        <family val="2"/>
        <scheme val="minor"/>
      </rPr>
      <t>1. PROJECT OBJECTIVE &amp; SCOPE</t>
    </r>
    <r>
      <rPr>
        <sz val="11"/>
        <color theme="1"/>
        <rFont val="Calibri"/>
        <family val="2"/>
        <scheme val="minor"/>
      </rPr>
      <t xml:space="preserve">
</t>
    </r>
    <r>
      <rPr>
        <b/>
        <sz val="11"/>
        <color theme="1"/>
        <rFont val="Calibri"/>
        <family val="2"/>
        <scheme val="minor"/>
      </rPr>
      <t>* Objective:</t>
    </r>
    <r>
      <rPr>
        <sz val="11"/>
        <color theme="1"/>
        <rFont val="Calibri"/>
        <family val="2"/>
        <scheme val="minor"/>
      </rPr>
      <t xml:space="preserve"> Clean, organize, and analyze tracking data for 15 global diplomatic missions to monitor outreach status, engagement levels, and conversion results.
</t>
    </r>
    <r>
      <rPr>
        <b/>
        <sz val="11"/>
        <color theme="1"/>
        <rFont val="Calibri"/>
        <family val="2"/>
        <scheme val="minor"/>
      </rPr>
      <t>* Core Deliverable:</t>
    </r>
    <r>
      <rPr>
        <sz val="11"/>
        <color theme="1"/>
        <rFont val="Calibri"/>
        <family val="2"/>
        <scheme val="minor"/>
      </rPr>
      <t xml:space="preserve"> An interactive Excel dashboard featuring summary KPI cards, regional charts, status breakdowns, and synchronized slicers.
</t>
    </r>
    <r>
      <rPr>
        <b/>
        <sz val="11"/>
        <color theme="1" tint="4.9989318521683403E-2"/>
        <rFont val="Calibri"/>
        <family val="2"/>
        <scheme val="minor"/>
      </rPr>
      <t>2. KEY ANALYTICAL INSIGHTS</t>
    </r>
    <r>
      <rPr>
        <sz val="11"/>
        <color theme="1"/>
        <rFont val="Calibri"/>
        <family val="2"/>
        <scheme val="minor"/>
      </rPr>
      <t xml:space="preserve">
</t>
    </r>
    <r>
      <rPr>
        <b/>
        <sz val="11"/>
        <color theme="1"/>
        <rFont val="Calibri"/>
        <family val="2"/>
        <scheme val="minor"/>
      </rPr>
      <t>* Outreach Volume:</t>
    </r>
    <r>
      <rPr>
        <sz val="11"/>
        <color theme="1"/>
        <rFont val="Calibri"/>
        <family val="2"/>
        <scheme val="minor"/>
      </rPr>
      <t xml:space="preserve"> Tracked 15 diplomatic missions distributed across 6 global regions.
</t>
    </r>
    <r>
      <rPr>
        <b/>
        <sz val="11"/>
        <color theme="1"/>
        <rFont val="Calibri"/>
        <family val="2"/>
        <scheme val="minor"/>
      </rPr>
      <t>* Conversion Rate:</t>
    </r>
    <r>
      <rPr>
        <sz val="11"/>
        <color theme="1"/>
        <rFont val="Calibri"/>
        <family val="2"/>
        <scheme val="minor"/>
      </rPr>
      <t xml:space="preserve"> The overall active conversion rate is 53.3% (8 active, 5 pending, and 2 closed missions).
</t>
    </r>
    <r>
      <rPr>
        <b/>
        <sz val="11"/>
        <color theme="1"/>
        <rFont val="Calibri"/>
        <family val="2"/>
        <scheme val="minor"/>
      </rPr>
      <t>* Regional Focus:</t>
    </r>
    <r>
      <rPr>
        <sz val="11"/>
        <color theme="1"/>
        <rFont val="Calibri"/>
        <family val="2"/>
        <scheme val="minor"/>
      </rPr>
      <t xml:space="preserve"> Europe and Asia-Pacific account for the majority of diplomatic outreach (9 out of 15 missions).
</t>
    </r>
    <r>
      <rPr>
        <b/>
        <sz val="11"/>
        <color theme="1"/>
        <rFont val="Calibri"/>
        <family val="2"/>
        <scheme val="minor"/>
      </rPr>
      <t>* Follow-Up Priority:</t>
    </r>
    <r>
      <rPr>
        <sz val="11"/>
        <color theme="1"/>
        <rFont val="Calibri"/>
        <family val="2"/>
        <scheme val="minor"/>
      </rPr>
      <t xml:space="preserve"> High-engagement missions align closely with active partnerships, whereas pending items require timely follow-up action.
</t>
    </r>
    <r>
      <rPr>
        <b/>
        <sz val="11"/>
        <color theme="1"/>
        <rFont val="Calibri"/>
        <family val="2"/>
        <scheme val="minor"/>
      </rPr>
      <t>3. DATA GOVERNANCE &amp; QUALITY AUDIT</t>
    </r>
    <r>
      <rPr>
        <sz val="11"/>
        <color theme="1"/>
        <rFont val="Calibri"/>
        <family val="2"/>
        <scheme val="minor"/>
      </rPr>
      <t xml:space="preserve">
</t>
    </r>
    <r>
      <rPr>
        <b/>
        <sz val="11"/>
        <color theme="1"/>
        <rFont val="Calibri"/>
        <family val="2"/>
        <scheme val="minor"/>
      </rPr>
      <t>* Data Cleaning:</t>
    </r>
    <r>
      <rPr>
        <sz val="11"/>
        <color theme="1"/>
        <rFont val="Calibri"/>
        <family val="2"/>
        <scheme val="minor"/>
      </rPr>
      <t xml:space="preserve"> Standardized all embassy and high commission titles to ensure consistent naming.
</t>
    </r>
    <r>
      <rPr>
        <b/>
        <sz val="11"/>
        <color theme="1"/>
        <rFont val="Calibri"/>
        <family val="2"/>
        <scheme val="minor"/>
      </rPr>
      <t>* Exception Tracking:</t>
    </r>
    <r>
      <rPr>
        <sz val="11"/>
        <color theme="1"/>
        <rFont val="Calibri"/>
        <family val="2"/>
        <scheme val="minor"/>
      </rPr>
      <t xml:space="preserve"> Logged missing contact or follow-up dates for Australia (EMB-006), Italy (EMB-012), and Argentina (EMB-015) in the audit review.
* Metric Verification: Cross-checked all summary tables against dashboard KPI numbers to ensure complete data accuracy.
</t>
    </r>
    <r>
      <rPr>
        <b/>
        <sz val="11"/>
        <color theme="1"/>
        <rFont val="Calibri"/>
        <family val="2"/>
        <scheme val="minor"/>
      </rPr>
      <t>4. AI COLLABORATION &amp; METHODOLOGY NOTES</t>
    </r>
    <r>
      <rPr>
        <sz val="11"/>
        <color theme="1"/>
        <rFont val="Calibri"/>
        <family val="2"/>
        <scheme val="minor"/>
      </rPr>
      <t xml:space="preserve">
</t>
    </r>
    <r>
      <rPr>
        <b/>
        <sz val="11"/>
        <color theme="1"/>
        <rFont val="Calibri"/>
        <family val="2"/>
        <scheme val="minor"/>
      </rPr>
      <t>* Approach:</t>
    </r>
    <r>
      <rPr>
        <sz val="11"/>
        <color theme="1"/>
        <rFont val="Calibri"/>
        <family val="2"/>
        <scheme val="minor"/>
      </rPr>
      <t xml:space="preserve"> Partnered with an AI analytics mentor to structure data schemas, set up pivot tables, and connect global slicers across charts.
</t>
    </r>
    <r>
      <rPr>
        <b/>
        <sz val="11"/>
        <color theme="1"/>
        <rFont val="Calibri"/>
        <family val="2"/>
        <scheme val="minor"/>
      </rPr>
      <t xml:space="preserve">* Execution: </t>
    </r>
    <r>
      <rPr>
        <sz val="11"/>
        <color theme="1"/>
        <rFont val="Calibri"/>
        <family val="2"/>
        <scheme val="minor"/>
      </rPr>
      <t>Applied structured spreadsheet modeling and clean layout design to build a stable, easy-to-navigate reporting model.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</si>
</sst>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theme="1"/>
      <name val="Calibri"/>
      <family val="2"/>
      <scheme val="minor"/>
    </font>
    <font>
      <b/>
      <sz val="11"/>
      <name val="Calibri"/>
    </font>
    <font>
      <b/>
      <sz val="11"/>
      <color theme="1"/>
      <name val="Calibri"/>
      <family val="2"/>
      <scheme val="minor"/>
    </font>
    <font>
      <b/>
      <sz val="16"/>
      <color theme="1"/>
      <name val="Calibri"/>
      <family val="2"/>
      <scheme val="minor"/>
    </font>
    <font>
      <b/>
      <sz val="11"/>
      <name val="Calibri"/>
      <family val="2"/>
      <scheme val="minor"/>
    </font>
    <font>
      <sz val="8"/>
      <name val="Calibri"/>
      <family val="2"/>
      <scheme val="minor"/>
    </font>
    <font>
      <b/>
      <sz val="11"/>
      <color theme="1" tint="4.9989318521683403E-2"/>
      <name val="Calibri"/>
      <family val="2"/>
      <scheme val="minor"/>
    </font>
  </fonts>
  <fills count="6">
    <fill>
      <patternFill patternType="none"/>
    </fill>
    <fill>
      <patternFill patternType="gray125"/>
    </fill>
    <fill>
      <patternFill patternType="solid">
        <fgColor theme="4"/>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2" tint="-9.9978637043366805E-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auto="1"/>
      </left>
      <right style="thin">
        <color auto="1"/>
      </right>
      <top/>
      <bottom style="thin">
        <color auto="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2" fontId="0" fillId="0" borderId="0" xfId="0" applyNumberFormat="1"/>
    <xf numFmtId="164" fontId="0" fillId="0" borderId="0" xfId="0" applyNumberFormat="1"/>
    <xf numFmtId="1" fontId="0" fillId="0" borderId="0" xfId="0" applyNumberFormat="1"/>
    <xf numFmtId="10" fontId="0" fillId="0" borderId="0" xfId="0" applyNumberFormat="1"/>
    <xf numFmtId="0" fontId="3" fillId="2" borderId="0" xfId="0" applyFont="1" applyFill="1" applyAlignment="1">
      <alignment horizontal="center" vertical="center"/>
    </xf>
    <xf numFmtId="0" fontId="0" fillId="2" borderId="0" xfId="0" applyFill="1" applyAlignment="1">
      <alignment horizontal="center" vertical="center"/>
    </xf>
    <xf numFmtId="0" fontId="0" fillId="3" borderId="0" xfId="0" applyFill="1" applyAlignment="1">
      <alignment horizontal="center"/>
    </xf>
    <xf numFmtId="0" fontId="0" fillId="0" borderId="0" xfId="0" applyAlignment="1">
      <alignment wrapText="1"/>
    </xf>
    <xf numFmtId="0" fontId="0" fillId="0" borderId="0" xfId="0" applyAlignment="1">
      <alignment horizontal="left" vertical="top"/>
    </xf>
    <xf numFmtId="0" fontId="0" fillId="5" borderId="0" xfId="0" applyFill="1" applyAlignment="1">
      <alignment horizontal="center"/>
    </xf>
    <xf numFmtId="0" fontId="2" fillId="2" borderId="0" xfId="0" applyFont="1" applyFill="1" applyAlignment="1">
      <alignment horizontal="center"/>
    </xf>
    <xf numFmtId="0" fontId="0" fillId="5" borderId="0" xfId="0" applyFill="1" applyAlignment="1">
      <alignment horizontal="left" vertical="top" wrapText="1"/>
    </xf>
    <xf numFmtId="0" fontId="0" fillId="5" borderId="0" xfId="0" applyFill="1" applyAlignment="1">
      <alignment horizontal="left" vertical="top"/>
    </xf>
    <xf numFmtId="0" fontId="0" fillId="0" borderId="0" xfId="0" applyFill="1"/>
    <xf numFmtId="0" fontId="4" fillId="2" borderId="3" xfId="0" applyFont="1" applyFill="1" applyBorder="1" applyAlignment="1">
      <alignment horizontal="center"/>
    </xf>
    <xf numFmtId="0" fontId="4" fillId="2" borderId="7" xfId="0" applyFont="1" applyFill="1" applyBorder="1" applyAlignment="1">
      <alignment horizontal="center"/>
    </xf>
    <xf numFmtId="0" fontId="4" fillId="2" borderId="4" xfId="0" applyFont="1" applyFill="1" applyBorder="1" applyAlignment="1">
      <alignment horizontal="center"/>
    </xf>
    <xf numFmtId="0" fontId="0" fillId="0" borderId="0" xfId="0" applyBorder="1"/>
    <xf numFmtId="0" fontId="0" fillId="0" borderId="0" xfId="0" applyBorder="1" applyAlignment="1">
      <alignment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14" fontId="0" fillId="0" borderId="1" xfId="0" applyNumberFormat="1" applyBorder="1" applyAlignment="1">
      <alignment horizontal="left" vertical="center"/>
    </xf>
    <xf numFmtId="0" fontId="0" fillId="0" borderId="1" xfId="0" applyBorder="1" applyAlignment="1">
      <alignment horizontal="center" vertical="center" wrapText="1"/>
    </xf>
    <xf numFmtId="0" fontId="0" fillId="5" borderId="8" xfId="0" applyFill="1" applyBorder="1" applyAlignment="1">
      <alignment horizontal="center" vertical="center"/>
    </xf>
    <xf numFmtId="0" fontId="0" fillId="5" borderId="8" xfId="0" applyFill="1" applyBorder="1" applyAlignment="1">
      <alignment horizontal="center" vertical="center" wrapText="1"/>
    </xf>
    <xf numFmtId="0" fontId="0" fillId="4" borderId="3" xfId="0" applyFill="1" applyBorder="1" applyAlignment="1">
      <alignment horizontal="center" vertical="center"/>
    </xf>
    <xf numFmtId="0" fontId="0" fillId="4" borderId="4" xfId="0" applyFill="1" applyBorder="1" applyAlignment="1">
      <alignment horizontal="center" vertical="center"/>
    </xf>
    <xf numFmtId="165" fontId="2" fillId="4" borderId="3" xfId="0" applyNumberFormat="1" applyFont="1" applyFill="1" applyBorder="1" applyAlignment="1">
      <alignment horizontal="center" vertical="center"/>
    </xf>
    <xf numFmtId="165" fontId="2" fillId="4" borderId="4" xfId="0" applyNumberFormat="1" applyFont="1"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165" fontId="2" fillId="4" borderId="5" xfId="0" applyNumberFormat="1" applyFont="1" applyFill="1" applyBorder="1" applyAlignment="1">
      <alignment horizontal="center" vertical="center"/>
    </xf>
    <xf numFmtId="165" fontId="2" fillId="4" borderId="6" xfId="0" applyNumberFormat="1" applyFont="1" applyFill="1" applyBorder="1" applyAlignment="1">
      <alignment horizontal="center" vertical="center"/>
    </xf>
    <xf numFmtId="10" fontId="0" fillId="5" borderId="0" xfId="0" applyNumberFormat="1" applyFill="1" applyAlignment="1">
      <alignment horizontal="center"/>
    </xf>
    <xf numFmtId="2" fontId="0" fillId="5" borderId="0" xfId="0" applyNumberFormat="1" applyFill="1" applyAlignment="1">
      <alignment horizontal="center"/>
    </xf>
    <xf numFmtId="0" fontId="2" fillId="3" borderId="0" xfId="0" applyFont="1" applyFill="1" applyAlignment="1">
      <alignment horizontal="center"/>
    </xf>
    <xf numFmtId="10" fontId="2" fillId="3" borderId="0" xfId="0" applyNumberFormat="1" applyFont="1" applyFill="1" applyAlignment="1">
      <alignment horizontal="center"/>
    </xf>
    <xf numFmtId="2" fontId="2" fillId="3" borderId="0" xfId="0" applyNumberFormat="1" applyFont="1" applyFill="1" applyAlignment="1">
      <alignment horizontal="center"/>
    </xf>
  </cellXfs>
  <cellStyles count="1">
    <cellStyle name="Normal" xfId="0" builtinId="0"/>
  </cellStyles>
  <dxfs count="3">
    <dxf>
      <numFmt numFmtId="14" formatCode="0.00%"/>
    </dxf>
    <dxf>
      <numFmt numFmtId="2" formatCode="0.0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[Embassy_Outreach_Executive_Dashboard_Yash_Yadav.xlsx]Summary_View!Regional Distribution</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Embassy Participation by Region</a:t>
            </a:r>
            <a:endParaRPr lang="en-IN"/>
          </a:p>
        </c:rich>
      </c:tx>
      <c:layout>
        <c:manualLayout>
          <c:xMode val="edge"/>
          <c:yMode val="edge"/>
          <c:x val="0.1143209876543209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Summary_View!$B$7</c:f>
              <c:strCache>
                <c:ptCount val="1"/>
                <c:pt idx="0">
                  <c:v>Count of Embassy_ID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Summary_View!$A$8:$A$14</c:f>
              <c:strCache>
                <c:ptCount val="6"/>
                <c:pt idx="0">
                  <c:v>Africa</c:v>
                </c:pt>
                <c:pt idx="1">
                  <c:v>Middle East</c:v>
                </c:pt>
                <c:pt idx="2">
                  <c:v>North America</c:v>
                </c:pt>
                <c:pt idx="3">
                  <c:v>Latin America</c:v>
                </c:pt>
                <c:pt idx="4">
                  <c:v>Asia-Pacific</c:v>
                </c:pt>
                <c:pt idx="5">
                  <c:v>Europe</c:v>
                </c:pt>
              </c:strCache>
            </c:strRef>
          </c:cat>
          <c:val>
            <c:numRef>
              <c:f>Summary_View!$B$8:$B$14</c:f>
              <c:numCache>
                <c:formatCode>General</c:formatCode>
                <c:ptCount val="6"/>
                <c:pt idx="0">
                  <c:v>1</c:v>
                </c:pt>
                <c:pt idx="1">
                  <c:v>1</c:v>
                </c:pt>
                <c:pt idx="2">
                  <c:v>2</c:v>
                </c:pt>
                <c:pt idx="3">
                  <c:v>2</c:v>
                </c:pt>
                <c:pt idx="4">
                  <c:v>4</c:v>
                </c:pt>
                <c:pt idx="5">
                  <c:v>5</c:v>
                </c:pt>
              </c:numCache>
            </c:numRef>
          </c:val>
          <c:extLst>
            <c:ext xmlns:c16="http://schemas.microsoft.com/office/drawing/2014/chart" uri="{C3380CC4-5D6E-409C-BE32-E72D297353CC}">
              <c16:uniqueId val="{00000000-3ABF-44CB-ABAB-1C4FA7CC76F0}"/>
            </c:ext>
          </c:extLst>
        </c:ser>
        <c:ser>
          <c:idx val="1"/>
          <c:order val="1"/>
          <c:tx>
            <c:strRef>
              <c:f>Summary_View!$C$7</c:f>
              <c:strCache>
                <c:ptCount val="1"/>
                <c:pt idx="0">
                  <c:v>Average of IsActive</c:v>
                </c:pt>
              </c:strCache>
            </c:strRef>
          </c:tx>
          <c:spPr>
            <a:solidFill>
              <a:schemeClr val="accent2"/>
            </a:solidFill>
            <a:ln>
              <a:noFill/>
            </a:ln>
            <a:effectLst/>
          </c:spPr>
          <c:invertIfNegative val="0"/>
          <c:cat>
            <c:strRef>
              <c:f>Summary_View!$A$8:$A$14</c:f>
              <c:strCache>
                <c:ptCount val="6"/>
                <c:pt idx="0">
                  <c:v>Africa</c:v>
                </c:pt>
                <c:pt idx="1">
                  <c:v>Middle East</c:v>
                </c:pt>
                <c:pt idx="2">
                  <c:v>North America</c:v>
                </c:pt>
                <c:pt idx="3">
                  <c:v>Latin America</c:v>
                </c:pt>
                <c:pt idx="4">
                  <c:v>Asia-Pacific</c:v>
                </c:pt>
                <c:pt idx="5">
                  <c:v>Europe</c:v>
                </c:pt>
              </c:strCache>
            </c:strRef>
          </c:cat>
          <c:val>
            <c:numRef>
              <c:f>Summary_View!$C$8:$C$14</c:f>
              <c:numCache>
                <c:formatCode>0.00%</c:formatCode>
                <c:ptCount val="6"/>
                <c:pt idx="0">
                  <c:v>1</c:v>
                </c:pt>
                <c:pt idx="1">
                  <c:v>1</c:v>
                </c:pt>
                <c:pt idx="2">
                  <c:v>1</c:v>
                </c:pt>
                <c:pt idx="3">
                  <c:v>0</c:v>
                </c:pt>
                <c:pt idx="4">
                  <c:v>0.5</c:v>
                </c:pt>
                <c:pt idx="5">
                  <c:v>0.4</c:v>
                </c:pt>
              </c:numCache>
            </c:numRef>
          </c:val>
          <c:extLst>
            <c:ext xmlns:c16="http://schemas.microsoft.com/office/drawing/2014/chart" uri="{C3380CC4-5D6E-409C-BE32-E72D297353CC}">
              <c16:uniqueId val="{00000004-3ABF-44CB-ABAB-1C4FA7CC76F0}"/>
            </c:ext>
          </c:extLst>
        </c:ser>
        <c:ser>
          <c:idx val="2"/>
          <c:order val="2"/>
          <c:tx>
            <c:strRef>
              <c:f>Summary_View!$D$7</c:f>
              <c:strCache>
                <c:ptCount val="1"/>
                <c:pt idx="0">
                  <c:v>Average of FollowUp_Delay</c:v>
                </c:pt>
              </c:strCache>
            </c:strRef>
          </c:tx>
          <c:spPr>
            <a:solidFill>
              <a:schemeClr val="accent3"/>
            </a:solidFill>
            <a:ln>
              <a:noFill/>
            </a:ln>
            <a:effectLst/>
          </c:spPr>
          <c:invertIfNegative val="0"/>
          <c:cat>
            <c:strRef>
              <c:f>Summary_View!$A$8:$A$14</c:f>
              <c:strCache>
                <c:ptCount val="6"/>
                <c:pt idx="0">
                  <c:v>Africa</c:v>
                </c:pt>
                <c:pt idx="1">
                  <c:v>Middle East</c:v>
                </c:pt>
                <c:pt idx="2">
                  <c:v>North America</c:v>
                </c:pt>
                <c:pt idx="3">
                  <c:v>Latin America</c:v>
                </c:pt>
                <c:pt idx="4">
                  <c:v>Asia-Pacific</c:v>
                </c:pt>
                <c:pt idx="5">
                  <c:v>Europe</c:v>
                </c:pt>
              </c:strCache>
            </c:strRef>
          </c:cat>
          <c:val>
            <c:numRef>
              <c:f>Summary_View!$D$8:$D$14</c:f>
              <c:numCache>
                <c:formatCode>0.00</c:formatCode>
                <c:ptCount val="6"/>
                <c:pt idx="0">
                  <c:v>24</c:v>
                </c:pt>
                <c:pt idx="1">
                  <c:v>23</c:v>
                </c:pt>
                <c:pt idx="2">
                  <c:v>30.5</c:v>
                </c:pt>
                <c:pt idx="3">
                  <c:v>8</c:v>
                </c:pt>
                <c:pt idx="4">
                  <c:v>17.333333333333332</c:v>
                </c:pt>
                <c:pt idx="5">
                  <c:v>26.75</c:v>
                </c:pt>
              </c:numCache>
            </c:numRef>
          </c:val>
          <c:extLst>
            <c:ext xmlns:c16="http://schemas.microsoft.com/office/drawing/2014/chart" uri="{C3380CC4-5D6E-409C-BE32-E72D297353CC}">
              <c16:uniqueId val="{00000005-3ABF-44CB-ABAB-1C4FA7CC76F0}"/>
            </c:ext>
          </c:extLst>
        </c:ser>
        <c:dLbls>
          <c:showLegendKey val="0"/>
          <c:showVal val="0"/>
          <c:showCatName val="0"/>
          <c:showSerName val="0"/>
          <c:showPercent val="0"/>
          <c:showBubbleSize val="0"/>
        </c:dLbls>
        <c:gapWidth val="182"/>
        <c:axId val="1121420271"/>
        <c:axId val="985119407"/>
      </c:barChart>
      <c:catAx>
        <c:axId val="112142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119407"/>
        <c:crosses val="autoZero"/>
        <c:auto val="1"/>
        <c:lblAlgn val="ctr"/>
        <c:lblOffset val="100"/>
        <c:noMultiLvlLbl val="0"/>
      </c:catAx>
      <c:valAx>
        <c:axId val="985119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42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[Embassy_Outreach_Executive_Dashboard_Yash_Yadav.xlsx]Summary_View!Status Overview</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Embassy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Summary_View!$B$1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C9-400E-8E48-4E77110071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C9-400E-8E48-4E77110071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C9-400E-8E48-4E77110071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Summary_View!$A$2:$A$5</c:f>
              <c:strCache>
                <c:ptCount val="3"/>
                <c:pt idx="0">
                  <c:v>Active</c:v>
                </c:pt>
                <c:pt idx="1">
                  <c:v>Closed</c:v>
                </c:pt>
                <c:pt idx="2">
                  <c:v>Pending</c:v>
                </c:pt>
              </c:strCache>
            </c:strRef>
          </c:cat>
          <c:val>
            <c:numRef>
              <c:f>Summary_View!$B$2:$B$5</c:f>
              <c:numCache>
                <c:formatCode>General</c:formatCode>
                <c:ptCount val="3"/>
                <c:pt idx="0">
                  <c:v>8</c:v>
                </c:pt>
                <c:pt idx="1">
                  <c:v>2</c:v>
                </c:pt>
                <c:pt idx="2">
                  <c:v>5</c:v>
                </c:pt>
              </c:numCache>
            </c:numRef>
          </c:val>
          <c:extLst>
            <c:ext xmlns:c16="http://schemas.microsoft.com/office/drawing/2014/chart" uri="{C3380CC4-5D6E-409C-BE32-E72D297353CC}">
              <c16:uniqueId val="{00000006-CFC9-400E-8E48-4E77110071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6</xdr:col>
      <xdr:colOff>38100</xdr:colOff>
      <xdr:row>20</xdr:row>
      <xdr:rowOff>0</xdr:rowOff>
    </xdr:to>
    <xdr:graphicFrame macro="">
      <xdr:nvGraphicFramePr>
        <xdr:cNvPr id="2" name="Chart 1">
          <a:extLst>
            <a:ext uri="{FF2B5EF4-FFF2-40B4-BE49-F238E27FC236}">
              <a16:creationId xmlns:a16="http://schemas.microsoft.com/office/drawing/2014/main" id="{FCB4510D-7D1A-4EEE-9F35-B7A3EE5EC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5</xdr:row>
      <xdr:rowOff>0</xdr:rowOff>
    </xdr:from>
    <xdr:to>
      <xdr:col>10</xdr:col>
      <xdr:colOff>609600</xdr:colOff>
      <xdr:row>20</xdr:row>
      <xdr:rowOff>0</xdr:rowOff>
    </xdr:to>
    <xdr:graphicFrame macro="">
      <xdr:nvGraphicFramePr>
        <xdr:cNvPr id="3" name="Chart 2">
          <a:extLst>
            <a:ext uri="{FF2B5EF4-FFF2-40B4-BE49-F238E27FC236}">
              <a16:creationId xmlns:a16="http://schemas.microsoft.com/office/drawing/2014/main" id="{E050D6BE-42ED-41CB-AE93-FCEE6561D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5</xdr:row>
      <xdr:rowOff>1</xdr:rowOff>
    </xdr:from>
    <xdr:to>
      <xdr:col>14</xdr:col>
      <xdr:colOff>0</xdr:colOff>
      <xdr:row>11</xdr:row>
      <xdr:rowOff>62754</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5F4D9DEC-20B1-499F-B823-AD120E0DE3E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841253" y="937847"/>
              <a:ext cx="1833824" cy="1168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26894</xdr:colOff>
      <xdr:row>11</xdr:row>
      <xdr:rowOff>161364</xdr:rowOff>
    </xdr:from>
    <xdr:to>
      <xdr:col>14</xdr:col>
      <xdr:colOff>26894</xdr:colOff>
      <xdr:row>22</xdr:row>
      <xdr:rowOff>80683</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F1950D8-314A-4F29-8ED4-ED9F0F1C99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68147" y="2204529"/>
              <a:ext cx="1833824" cy="2029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YADAV" refreshedDate="46301.71310335648" createdVersion="8" refreshedVersion="8" minRefreshableVersion="3" recordCount="15" xr:uid="{AB0F52A6-F5B7-43D5-B3C5-3178D92F67C5}">
  <cacheSource type="worksheet">
    <worksheetSource ref="A1:M16" sheet="Database"/>
  </cacheSource>
  <cacheFields count="13">
    <cacheField name="Embassy_ID" numFmtId="0">
      <sharedItems/>
    </cacheField>
    <cacheField name="Embassy_Name" numFmtId="0">
      <sharedItems/>
    </cacheField>
    <cacheField name="Represented_Nation" numFmtId="0">
      <sharedItems/>
    </cacheField>
    <cacheField name="Region" numFmtId="0">
      <sharedItems count="6">
        <s v="North America"/>
        <s v="Europe"/>
        <s v="Asia-Pacific"/>
        <s v="Latin America"/>
        <s v="Africa"/>
        <s v="Middle East"/>
      </sharedItems>
    </cacheField>
    <cacheField name="Host_Country" numFmtId="0">
      <sharedItems/>
    </cacheField>
    <cacheField name="Contact_Date" numFmtId="0">
      <sharedItems/>
    </cacheField>
    <cacheField name="Status" numFmtId="0">
      <sharedItems count="3">
        <s v="Active"/>
        <s v="Pending"/>
        <s v="Closed"/>
      </sharedItems>
    </cacheField>
    <cacheField name="IsActive" numFmtId="0">
      <sharedItems containsSemiMixedTypes="0" containsString="0" containsNumber="1" containsInteger="1" minValue="0" maxValue="1"/>
    </cacheField>
    <cacheField name="Engagement_Level" numFmtId="0">
      <sharedItems count="3">
        <s v="High"/>
        <s v="Medium"/>
        <s v="Low"/>
      </sharedItems>
    </cacheField>
    <cacheField name="Engagement_Score" numFmtId="0">
      <sharedItems containsSemiMixedTypes="0" containsString="0" containsNumber="1" containsInteger="1" minValue="1" maxValue="3"/>
    </cacheField>
    <cacheField name="Last_FollowUp" numFmtId="0">
      <sharedItems containsBlank="1"/>
    </cacheField>
    <cacheField name="FollowUp_Delay" numFmtId="0">
      <sharedItems containsString="0" containsBlank="1" containsNumber="1" containsInteger="1" minValue="8" maxValue="34"/>
    </cacheField>
    <cacheField name="Notes" numFmtId="0">
      <sharedItems/>
    </cacheField>
  </cacheFields>
  <extLst>
    <ext xmlns:x14="http://schemas.microsoft.com/office/spreadsheetml/2009/9/main" uri="{725AE2AE-9491-48be-B2B4-4EB974FC3084}">
      <x14:pivotCacheDefinition pivotCacheId="913998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EMB-001"/>
    <s v="Embassy of the United States"/>
    <s v="United States"/>
    <x v="0"/>
    <s v="India"/>
    <s v="2026-08-10"/>
    <x v="0"/>
    <n v="1"/>
    <x v="0"/>
    <n v="3"/>
    <s v="2026-09-12"/>
    <n v="33"/>
    <s v="Expressed strong interest in trade data."/>
  </r>
  <r>
    <s v="EMB-002"/>
    <s v="British High Commission"/>
    <s v="British"/>
    <x v="1"/>
    <s v="India"/>
    <s v="2026-08-12"/>
    <x v="1"/>
    <n v="0"/>
    <x v="1"/>
    <n v="2"/>
    <s v="2026-09-15"/>
    <n v="34"/>
    <s v="Awaiting formal response on proposal."/>
  </r>
  <r>
    <s v="EMB-003"/>
    <s v="Embassy of France"/>
    <s v="France"/>
    <x v="1"/>
    <s v="India"/>
    <s v="2026-08-15"/>
    <x v="0"/>
    <n v="1"/>
    <x v="0"/>
    <n v="3"/>
    <s v="2026-09-18"/>
    <n v="34"/>
    <s v="Scheduled joint webinar session."/>
  </r>
  <r>
    <s v="EMB-004"/>
    <s v="Embassy of Japan"/>
    <s v="Japan"/>
    <x v="2"/>
    <s v="India"/>
    <s v="2026-08-18"/>
    <x v="2"/>
    <n v="0"/>
    <x v="2"/>
    <n v="1"/>
    <s v="2026-08-30"/>
    <n v="12"/>
    <s v="Declined due to scheduling conflicts."/>
  </r>
  <r>
    <s v="EMB-005"/>
    <s v="Embassy of Germany"/>
    <s v="Germany"/>
    <x v="1"/>
    <s v="India"/>
    <s v="2026-08-20"/>
    <x v="0"/>
    <n v="1"/>
    <x v="0"/>
    <n v="3"/>
    <s v="2026-09-20"/>
    <n v="31"/>
    <s v="Shared quarterly reporting metrics."/>
  </r>
  <r>
    <s v="EMB-006"/>
    <s v="Embassy of Australia"/>
    <s v="Australia"/>
    <x v="2"/>
    <s v="India"/>
    <s v="2026-08-22"/>
    <x v="1"/>
    <n v="0"/>
    <x v="1"/>
    <n v="2"/>
    <m/>
    <m/>
    <s v="Missing follow-up date noted for review."/>
  </r>
  <r>
    <s v="EMB-007"/>
    <s v="Embassy of Canada"/>
    <s v="Canada"/>
    <x v="0"/>
    <s v="India"/>
    <s v="2026-08-25"/>
    <x v="0"/>
    <n v="1"/>
    <x v="0"/>
    <n v="3"/>
    <s v="2026-09-22"/>
    <n v="28"/>
    <s v="Collaborating on bilateral trade index."/>
  </r>
  <r>
    <s v="EMB-008"/>
    <s v="Embassy of Brazil"/>
    <s v="Brazil"/>
    <x v="3"/>
    <s v="India"/>
    <s v="2026-08-28"/>
    <x v="1"/>
    <n v="0"/>
    <x v="2"/>
    <n v="1"/>
    <s v="2026-09-05"/>
    <n v="8"/>
    <s v="Initial introductory email sent."/>
  </r>
  <r>
    <s v="EMB-009"/>
    <s v="Embassy of South Africa"/>
    <s v="South Africa"/>
    <x v="4"/>
    <s v="India"/>
    <s v="2026-09-01"/>
    <x v="0"/>
    <n v="1"/>
    <x v="1"/>
    <n v="2"/>
    <s v="2026-09-25"/>
    <n v="24"/>
    <s v="Requested further documentation."/>
  </r>
  <r>
    <s v="EMB-010"/>
    <s v="Embassy of UAE"/>
    <s v="UAE"/>
    <x v="5"/>
    <s v="India"/>
    <s v="2026-09-03"/>
    <x v="0"/>
    <n v="1"/>
    <x v="0"/>
    <n v="3"/>
    <s v="2026-09-26"/>
    <n v="23"/>
    <s v="Partnership agreement under review."/>
  </r>
  <r>
    <s v="EMB-011"/>
    <s v="Embassy of Singapore"/>
    <s v="Singapore"/>
    <x v="2"/>
    <s v="India"/>
    <s v="2026-09-05"/>
    <x v="0"/>
    <n v="1"/>
    <x v="0"/>
    <n v="3"/>
    <s v="2026-09-27"/>
    <n v="22"/>
    <s v="High engagement on digital trade initiative."/>
  </r>
  <r>
    <s v="EMB-012"/>
    <s v="Embassy of Italy"/>
    <s v="Italy"/>
    <x v="1"/>
    <s v="India"/>
    <s v="To be determined"/>
    <x v="1"/>
    <n v="0"/>
    <x v="2"/>
    <n v="1"/>
    <m/>
    <m/>
    <s v="Missing contact date and follow-up data quality issue."/>
  </r>
  <r>
    <s v="EMB-013"/>
    <s v="Embassy of South Korea"/>
    <s v="South Korea"/>
    <x v="2"/>
    <s v="India"/>
    <s v="2026-09-10"/>
    <x v="0"/>
    <n v="1"/>
    <x v="1"/>
    <n v="2"/>
    <s v="2026-09-28"/>
    <n v="18"/>
    <s v="Follow-up meeting booked."/>
  </r>
  <r>
    <s v="EMB-014"/>
    <s v="Embassy of Russia"/>
    <s v="Russia"/>
    <x v="1"/>
    <s v="India"/>
    <s v="2026-09-12"/>
    <x v="2"/>
    <n v="0"/>
    <x v="2"/>
    <n v="1"/>
    <s v="2026-09-20"/>
    <n v="8"/>
    <s v="No further action required currently."/>
  </r>
  <r>
    <s v="EMB-015"/>
    <s v="Embassy of Argentina"/>
    <s v="Argentina"/>
    <x v="3"/>
    <s v="India"/>
    <s v="2026-09-15"/>
    <x v="1"/>
    <n v="0"/>
    <x v="2"/>
    <n v="1"/>
    <m/>
    <m/>
    <s v="Pending initial outreach respon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FF4EE-5D1E-4704-B2DE-A2851FDA873E}" name="Status Overview"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13">
    <pivotField dataField="1" showAll="0"/>
    <pivotField showAll="0"/>
    <pivotField showAll="0"/>
    <pivotField showAll="0">
      <items count="7">
        <item x="4"/>
        <item x="2"/>
        <item x="1"/>
        <item x="3"/>
        <item x="5"/>
        <item x="0"/>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Embassy_ID" fld="0"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C4D370-1DB1-4C87-BD35-F8C3AC4427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20" firstHeaderRow="0" firstDataRow="1" firstDataCol="1"/>
  <pivotFields count="13">
    <pivotField dataField="1" showAll="0"/>
    <pivotField showAll="0"/>
    <pivotField showAll="0"/>
    <pivotField showAll="0">
      <items count="7">
        <item x="4"/>
        <item x="2"/>
        <item x="1"/>
        <item x="3"/>
        <item x="5"/>
        <item x="0"/>
        <item t="default"/>
      </items>
    </pivotField>
    <pivotField showAll="0"/>
    <pivotField showAll="0"/>
    <pivotField showAll="0">
      <items count="4">
        <item x="0"/>
        <item x="2"/>
        <item x="1"/>
        <item t="default"/>
      </items>
    </pivotField>
    <pivotField showAll="0"/>
    <pivotField axis="axisRow" showAll="0">
      <items count="4">
        <item x="0"/>
        <item x="2"/>
        <item x="1"/>
        <item t="default"/>
      </items>
    </pivotField>
    <pivotField dataField="1"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Count of Embassy_ID" fld="0" subtotal="count" baseField="0" baseItem="0"/>
    <dataField name="Average of Engagement_Score" fld="9"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D5A48-ED90-4673-ADA7-D676376DC53C}" name="Regional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D14" firstHeaderRow="0" firstDataRow="1" firstDataCol="1"/>
  <pivotFields count="13">
    <pivotField dataField="1" showAll="0"/>
    <pivotField showAll="0"/>
    <pivotField showAll="0"/>
    <pivotField axis="axisRow" showAll="0"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dataField="1" showAll="0"/>
    <pivotField showAll="0"/>
    <pivotField showAll="0"/>
    <pivotField showAll="0"/>
    <pivotField dataField="1" showAll="0"/>
    <pivotField showAll="0"/>
  </pivotFields>
  <rowFields count="1">
    <field x="3"/>
  </rowFields>
  <rowItems count="7">
    <i>
      <x/>
    </i>
    <i>
      <x v="4"/>
    </i>
    <i>
      <x v="5"/>
    </i>
    <i>
      <x v="3"/>
    </i>
    <i>
      <x v="1"/>
    </i>
    <i>
      <x v="2"/>
    </i>
    <i t="grand">
      <x/>
    </i>
  </rowItems>
  <colFields count="1">
    <field x="-2"/>
  </colFields>
  <colItems count="3">
    <i>
      <x/>
    </i>
    <i i="1">
      <x v="1"/>
    </i>
    <i i="2">
      <x v="2"/>
    </i>
  </colItems>
  <dataFields count="3">
    <dataField name="Count of Embassy_ID" fld="0" subtotal="count" baseField="0" baseItem="0"/>
    <dataField name="Average of IsActive" fld="7" subtotal="average" baseField="0" baseItem="0"/>
    <dataField name="Average of FollowUp_Delay" fld="11" subtotal="average" baseField="0" baseItem="0"/>
  </dataFields>
  <formats count="3">
    <format dxfId="2">
      <pivotArea collapsedLevelsAreSubtotals="1" fieldPosition="0">
        <references count="2">
          <reference field="4294967294" count="1" selected="0">
            <x v="0"/>
          </reference>
          <reference field="3" count="1">
            <x v="3"/>
          </reference>
        </references>
      </pivotArea>
    </format>
    <format dxfId="1">
      <pivotArea dataOnly="0" outline="0" fieldPosition="0">
        <references count="1">
          <reference field="4294967294" count="1">
            <x v="2"/>
          </reference>
        </references>
      </pivotArea>
    </format>
    <format dxfId="0">
      <pivotArea dataOnly="0" outline="0" fieldPosition="0">
        <references count="1">
          <reference field="4294967294" count="1">
            <x v="1"/>
          </reference>
        </references>
      </pivotArea>
    </format>
  </formats>
  <chartFormats count="3">
    <chartFormat chart="14" format="6"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CDEC7A8-63BA-4F73-B4C5-F88E45E7164B}" sourceName="Status">
  <pivotTables>
    <pivotTable tabId="3" name="Regional Distribution"/>
    <pivotTable tabId="3" name="PivotTable3"/>
    <pivotTable tabId="3" name="Status Overview"/>
  </pivotTables>
  <data>
    <tabular pivotCacheId="91399803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49F559-7A73-425C-ADC7-394A062669F0}" sourceName="Region">
  <pivotTables>
    <pivotTable tabId="3" name="Regional Distribution"/>
    <pivotTable tabId="3" name="PivotTable3"/>
    <pivotTable tabId="3" name="Status Overview"/>
  </pivotTables>
  <data>
    <tabular pivotCacheId="913998037">
      <items count="6">
        <i x="4" s="1"/>
        <i x="2" s="1"/>
        <i x="1" s="1"/>
        <i x="3"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EA0DFF99-AAA4-4CAE-89B3-91F030712FFB}" cache="Slicer_Status" caption="Status" rowHeight="234950"/>
  <slicer name="Region" xr10:uid="{5EC60247-AE0E-4522-8AEB-17731C9F75F4}"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B0DD-59FD-4D2F-BB86-C23C8B5D6C1C}">
  <dimension ref="B2:L31"/>
  <sheetViews>
    <sheetView showGridLines="0" zoomScaleNormal="100" workbookViewId="0">
      <selection activeCell="O22" sqref="O22"/>
    </sheetView>
  </sheetViews>
  <sheetFormatPr defaultRowHeight="14.4" x14ac:dyDescent="0.3"/>
  <sheetData>
    <row r="2" spans="2:12" x14ac:dyDescent="0.3">
      <c r="B2" s="15" t="s">
        <v>134</v>
      </c>
      <c r="C2" s="15"/>
      <c r="D2" s="15"/>
      <c r="E2" s="15"/>
      <c r="F2" s="15"/>
      <c r="G2" s="15"/>
      <c r="H2" s="15"/>
      <c r="I2" s="15"/>
    </row>
    <row r="3" spans="2:12" x14ac:dyDescent="0.3">
      <c r="B3" s="16" t="s">
        <v>135</v>
      </c>
      <c r="C3" s="17"/>
      <c r="D3" s="17"/>
      <c r="E3" s="17"/>
      <c r="F3" s="17"/>
      <c r="G3" s="17"/>
      <c r="H3" s="17"/>
      <c r="I3" s="17"/>
    </row>
    <row r="4" spans="2:12" x14ac:dyDescent="0.3">
      <c r="B4" s="17"/>
      <c r="C4" s="17"/>
      <c r="D4" s="17"/>
      <c r="E4" s="17"/>
      <c r="F4" s="17"/>
      <c r="G4" s="17"/>
      <c r="H4" s="17"/>
      <c r="I4" s="17"/>
      <c r="L4" s="18"/>
    </row>
    <row r="5" spans="2:12" x14ac:dyDescent="0.3">
      <c r="B5" s="17"/>
      <c r="C5" s="17"/>
      <c r="D5" s="17"/>
      <c r="E5" s="17"/>
      <c r="F5" s="17"/>
      <c r="G5" s="17"/>
      <c r="H5" s="17"/>
      <c r="I5" s="17"/>
    </row>
    <row r="6" spans="2:12" x14ac:dyDescent="0.3">
      <c r="B6" s="17"/>
      <c r="C6" s="17"/>
      <c r="D6" s="17"/>
      <c r="E6" s="17"/>
      <c r="F6" s="17"/>
      <c r="G6" s="17"/>
      <c r="H6" s="17"/>
      <c r="I6" s="17"/>
    </row>
    <row r="7" spans="2:12" x14ac:dyDescent="0.3">
      <c r="B7" s="17"/>
      <c r="C7" s="17"/>
      <c r="D7" s="17"/>
      <c r="E7" s="17"/>
      <c r="F7" s="17"/>
      <c r="G7" s="17"/>
      <c r="H7" s="17"/>
      <c r="I7" s="17"/>
    </row>
    <row r="8" spans="2:12" x14ac:dyDescent="0.3">
      <c r="B8" s="17"/>
      <c r="C8" s="17"/>
      <c r="D8" s="17"/>
      <c r="E8" s="17"/>
      <c r="F8" s="17"/>
      <c r="G8" s="17"/>
      <c r="H8" s="17"/>
      <c r="I8" s="17"/>
    </row>
    <row r="9" spans="2:12" x14ac:dyDescent="0.3">
      <c r="B9" s="17"/>
      <c r="C9" s="17"/>
      <c r="D9" s="17"/>
      <c r="E9" s="17"/>
      <c r="F9" s="17"/>
      <c r="G9" s="17"/>
      <c r="H9" s="17"/>
      <c r="I9" s="17"/>
    </row>
    <row r="10" spans="2:12" x14ac:dyDescent="0.3">
      <c r="B10" s="17"/>
      <c r="C10" s="17"/>
      <c r="D10" s="17"/>
      <c r="E10" s="17"/>
      <c r="F10" s="17"/>
      <c r="G10" s="17"/>
      <c r="H10" s="17"/>
      <c r="I10" s="17"/>
    </row>
    <row r="11" spans="2:12" x14ac:dyDescent="0.3">
      <c r="B11" s="17"/>
      <c r="C11" s="17"/>
      <c r="D11" s="17"/>
      <c r="E11" s="17"/>
      <c r="F11" s="17"/>
      <c r="G11" s="17"/>
      <c r="H11" s="17"/>
      <c r="I11" s="17"/>
    </row>
    <row r="12" spans="2:12" x14ac:dyDescent="0.3">
      <c r="B12" s="17"/>
      <c r="C12" s="17"/>
      <c r="D12" s="17"/>
      <c r="E12" s="17"/>
      <c r="F12" s="17"/>
      <c r="G12" s="17"/>
      <c r="H12" s="17"/>
      <c r="I12" s="17"/>
    </row>
    <row r="13" spans="2:12" x14ac:dyDescent="0.3">
      <c r="B13" s="17"/>
      <c r="C13" s="17"/>
      <c r="D13" s="17"/>
      <c r="E13" s="17"/>
      <c r="F13" s="17"/>
      <c r="G13" s="17"/>
      <c r="H13" s="17"/>
      <c r="I13" s="17"/>
    </row>
    <row r="14" spans="2:12" x14ac:dyDescent="0.3">
      <c r="B14" s="17"/>
      <c r="C14" s="17"/>
      <c r="D14" s="17"/>
      <c r="E14" s="17"/>
      <c r="F14" s="17"/>
      <c r="G14" s="17"/>
      <c r="H14" s="17"/>
      <c r="I14" s="17"/>
    </row>
    <row r="15" spans="2:12" x14ac:dyDescent="0.3">
      <c r="B15" s="17"/>
      <c r="C15" s="17"/>
      <c r="D15" s="17"/>
      <c r="E15" s="17"/>
      <c r="F15" s="17"/>
      <c r="G15" s="17"/>
      <c r="H15" s="17"/>
      <c r="I15" s="17"/>
    </row>
    <row r="16" spans="2:12" x14ac:dyDescent="0.3">
      <c r="B16" s="17"/>
      <c r="C16" s="17"/>
      <c r="D16" s="17"/>
      <c r="E16" s="17"/>
      <c r="F16" s="17"/>
      <c r="G16" s="17"/>
      <c r="H16" s="17"/>
      <c r="I16" s="17"/>
    </row>
    <row r="17" spans="2:9" x14ac:dyDescent="0.3">
      <c r="B17" s="17"/>
      <c r="C17" s="17"/>
      <c r="D17" s="17"/>
      <c r="E17" s="17"/>
      <c r="F17" s="17"/>
      <c r="G17" s="17"/>
      <c r="H17" s="17"/>
      <c r="I17" s="17"/>
    </row>
    <row r="18" spans="2:9" x14ac:dyDescent="0.3">
      <c r="B18" s="17"/>
      <c r="C18" s="17"/>
      <c r="D18" s="17"/>
      <c r="E18" s="17"/>
      <c r="F18" s="17"/>
      <c r="G18" s="17"/>
      <c r="H18" s="17"/>
      <c r="I18" s="17"/>
    </row>
    <row r="19" spans="2:9" x14ac:dyDescent="0.3">
      <c r="B19" s="17"/>
      <c r="C19" s="17"/>
      <c r="D19" s="17"/>
      <c r="E19" s="17"/>
      <c r="F19" s="17"/>
      <c r="G19" s="17"/>
      <c r="H19" s="17"/>
      <c r="I19" s="17"/>
    </row>
    <row r="20" spans="2:9" x14ac:dyDescent="0.3">
      <c r="B20" s="17"/>
      <c r="C20" s="17"/>
      <c r="D20" s="17"/>
      <c r="E20" s="17"/>
      <c r="F20" s="17"/>
      <c r="G20" s="17"/>
      <c r="H20" s="17"/>
      <c r="I20" s="17"/>
    </row>
    <row r="21" spans="2:9" x14ac:dyDescent="0.3">
      <c r="B21" s="17"/>
      <c r="C21" s="17"/>
      <c r="D21" s="17"/>
      <c r="E21" s="17"/>
      <c r="F21" s="17"/>
      <c r="G21" s="17"/>
      <c r="H21" s="17"/>
      <c r="I21" s="17"/>
    </row>
    <row r="22" spans="2:9" x14ac:dyDescent="0.3">
      <c r="B22" s="17"/>
      <c r="C22" s="17"/>
      <c r="D22" s="17"/>
      <c r="E22" s="17"/>
      <c r="F22" s="17"/>
      <c r="G22" s="17"/>
      <c r="H22" s="17"/>
      <c r="I22" s="17"/>
    </row>
    <row r="23" spans="2:9" x14ac:dyDescent="0.3">
      <c r="B23" s="17"/>
      <c r="C23" s="17"/>
      <c r="D23" s="17"/>
      <c r="E23" s="17"/>
      <c r="F23" s="17"/>
      <c r="G23" s="17"/>
      <c r="H23" s="17"/>
      <c r="I23" s="17"/>
    </row>
    <row r="24" spans="2:9" x14ac:dyDescent="0.3">
      <c r="B24" s="17"/>
      <c r="C24" s="17"/>
      <c r="D24" s="17"/>
      <c r="E24" s="17"/>
      <c r="F24" s="17"/>
      <c r="G24" s="17"/>
      <c r="H24" s="17"/>
      <c r="I24" s="17"/>
    </row>
    <row r="25" spans="2:9" x14ac:dyDescent="0.3">
      <c r="B25" s="17"/>
      <c r="C25" s="17"/>
      <c r="D25" s="17"/>
      <c r="E25" s="17"/>
      <c r="F25" s="17"/>
      <c r="G25" s="17"/>
      <c r="H25" s="17"/>
      <c r="I25" s="17"/>
    </row>
    <row r="26" spans="2:9" x14ac:dyDescent="0.3">
      <c r="B26" s="17"/>
      <c r="C26" s="17"/>
      <c r="D26" s="17"/>
      <c r="E26" s="17"/>
      <c r="F26" s="17"/>
      <c r="G26" s="17"/>
      <c r="H26" s="17"/>
      <c r="I26" s="17"/>
    </row>
    <row r="27" spans="2:9" x14ac:dyDescent="0.3">
      <c r="B27" s="17"/>
      <c r="C27" s="17"/>
      <c r="D27" s="17"/>
      <c r="E27" s="17"/>
      <c r="F27" s="17"/>
      <c r="G27" s="17"/>
      <c r="H27" s="17"/>
      <c r="I27" s="17"/>
    </row>
    <row r="28" spans="2:9" x14ac:dyDescent="0.3">
      <c r="B28" s="17"/>
      <c r="C28" s="17"/>
      <c r="D28" s="17"/>
      <c r="E28" s="17"/>
      <c r="F28" s="17"/>
      <c r="G28" s="17"/>
      <c r="H28" s="17"/>
      <c r="I28" s="17"/>
    </row>
    <row r="29" spans="2:9" x14ac:dyDescent="0.3">
      <c r="B29" s="17"/>
      <c r="C29" s="17"/>
      <c r="D29" s="17"/>
      <c r="E29" s="17"/>
      <c r="F29" s="17"/>
      <c r="G29" s="17"/>
      <c r="H29" s="17"/>
      <c r="I29" s="17"/>
    </row>
    <row r="30" spans="2:9" x14ac:dyDescent="0.3">
      <c r="B30" s="17"/>
      <c r="C30" s="17"/>
      <c r="D30" s="17"/>
      <c r="E30" s="17"/>
      <c r="F30" s="17"/>
      <c r="G30" s="17"/>
      <c r="H30" s="17"/>
      <c r="I30" s="17"/>
    </row>
    <row r="31" spans="2:9" x14ac:dyDescent="0.3">
      <c r="B31" s="13"/>
    </row>
  </sheetData>
  <mergeCells count="2">
    <mergeCell ref="B2:I2"/>
    <mergeCell ref="B3:I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zoomScale="85" zoomScaleNormal="85" workbookViewId="0">
      <selection activeCell="H2" sqref="H2"/>
    </sheetView>
  </sheetViews>
  <sheetFormatPr defaultRowHeight="14.4" x14ac:dyDescent="0.3"/>
  <cols>
    <col min="1" max="1" width="11.33203125" bestFit="1" customWidth="1"/>
    <col min="2" max="2" width="26.109375" bestFit="1" customWidth="1"/>
    <col min="3" max="3" width="19.5546875" bestFit="1" customWidth="1"/>
    <col min="4" max="4" width="13" bestFit="1" customWidth="1"/>
    <col min="5" max="5" width="13.21875" bestFit="1" customWidth="1"/>
    <col min="6" max="6" width="15.88671875" bestFit="1" customWidth="1"/>
    <col min="7" max="7" width="7.6640625" bestFit="1" customWidth="1"/>
    <col min="8" max="8" width="8.21875" customWidth="1"/>
    <col min="9" max="9" width="17.88671875" bestFit="1" customWidth="1"/>
    <col min="10" max="10" width="18.33203125" bestFit="1" customWidth="1"/>
    <col min="11" max="11" width="14" bestFit="1" customWidth="1"/>
    <col min="12" max="12" width="15.44140625" customWidth="1"/>
    <col min="13" max="13" width="48.109375" bestFit="1" customWidth="1"/>
  </cols>
  <sheetData>
    <row r="1" spans="1:13" x14ac:dyDescent="0.3">
      <c r="A1" s="1" t="s">
        <v>0</v>
      </c>
      <c r="B1" s="1" t="s">
        <v>1</v>
      </c>
      <c r="C1" s="1" t="s">
        <v>89</v>
      </c>
      <c r="D1" s="1" t="s">
        <v>2</v>
      </c>
      <c r="E1" s="1" t="s">
        <v>88</v>
      </c>
      <c r="F1" s="1" t="s">
        <v>3</v>
      </c>
      <c r="G1" s="1" t="s">
        <v>4</v>
      </c>
      <c r="H1" s="4" t="s">
        <v>96</v>
      </c>
      <c r="I1" s="1" t="s">
        <v>5</v>
      </c>
      <c r="J1" s="1" t="s">
        <v>91</v>
      </c>
      <c r="K1" s="1" t="s">
        <v>6</v>
      </c>
      <c r="L1" s="1" t="s">
        <v>92</v>
      </c>
      <c r="M1" s="1" t="s">
        <v>7</v>
      </c>
    </row>
    <row r="2" spans="1:13" x14ac:dyDescent="0.3">
      <c r="A2" t="s">
        <v>8</v>
      </c>
      <c r="B2" t="s">
        <v>9</v>
      </c>
      <c r="C2" t="str">
        <f>TRIM(SUBSTITUTE(SUBSTITUTE(B2,"Embassy of the ",""),"High Commission",""))</f>
        <v>United States</v>
      </c>
      <c r="D2" t="s">
        <v>10</v>
      </c>
      <c r="E2" t="s">
        <v>11</v>
      </c>
      <c r="F2" t="s">
        <v>12</v>
      </c>
      <c r="G2" t="s">
        <v>13</v>
      </c>
      <c r="H2">
        <f t="shared" ref="H2:H16" si="0">IF(G2="Active",1,0)</f>
        <v>1</v>
      </c>
      <c r="I2" t="s">
        <v>14</v>
      </c>
      <c r="J2">
        <f t="shared" ref="J2:J16" si="1">IF(I2="High",3,IF(I2="Medium",2,1))</f>
        <v>3</v>
      </c>
      <c r="K2" t="s">
        <v>15</v>
      </c>
      <c r="L2">
        <f>IF(OR(ISBLANK(F2),ISBLANK(J2)),"TBD",K2-F2)</f>
        <v>33</v>
      </c>
      <c r="M2" t="s">
        <v>16</v>
      </c>
    </row>
    <row r="3" spans="1:13" x14ac:dyDescent="0.3">
      <c r="A3" t="s">
        <v>17</v>
      </c>
      <c r="B3" t="s">
        <v>18</v>
      </c>
      <c r="C3" t="str">
        <f t="shared" ref="C3:C16" si="2">TRIM(SUBSTITUTE(SUBSTITUTE(B3,"Embassy of ",""),"High Commission",""))</f>
        <v>British</v>
      </c>
      <c r="D3" t="s">
        <v>19</v>
      </c>
      <c r="E3" t="s">
        <v>11</v>
      </c>
      <c r="F3" t="s">
        <v>20</v>
      </c>
      <c r="G3" t="s">
        <v>21</v>
      </c>
      <c r="H3">
        <f t="shared" si="0"/>
        <v>0</v>
      </c>
      <c r="I3" t="s">
        <v>22</v>
      </c>
      <c r="J3">
        <f t="shared" si="1"/>
        <v>2</v>
      </c>
      <c r="K3" t="s">
        <v>23</v>
      </c>
      <c r="L3">
        <f>IF(OR(ISBLANK(F3),ISBLANK(J3)),"TBD",K3-F3)</f>
        <v>34</v>
      </c>
      <c r="M3" t="s">
        <v>24</v>
      </c>
    </row>
    <row r="4" spans="1:13" x14ac:dyDescent="0.3">
      <c r="A4" t="s">
        <v>25</v>
      </c>
      <c r="B4" t="s">
        <v>26</v>
      </c>
      <c r="C4" t="str">
        <f t="shared" si="2"/>
        <v>France</v>
      </c>
      <c r="D4" t="s">
        <v>19</v>
      </c>
      <c r="E4" t="s">
        <v>11</v>
      </c>
      <c r="F4" t="s">
        <v>27</v>
      </c>
      <c r="G4" t="s">
        <v>13</v>
      </c>
      <c r="H4">
        <f t="shared" si="0"/>
        <v>1</v>
      </c>
      <c r="I4" t="s">
        <v>14</v>
      </c>
      <c r="J4">
        <f t="shared" si="1"/>
        <v>3</v>
      </c>
      <c r="K4" t="s">
        <v>28</v>
      </c>
      <c r="L4">
        <f>IF(OR(ISBLANK(F4),ISBLANK(J4)),"TBD",K4-F4)</f>
        <v>34</v>
      </c>
      <c r="M4" t="s">
        <v>29</v>
      </c>
    </row>
    <row r="5" spans="1:13" x14ac:dyDescent="0.3">
      <c r="A5" t="s">
        <v>30</v>
      </c>
      <c r="B5" t="s">
        <v>31</v>
      </c>
      <c r="C5" t="str">
        <f t="shared" si="2"/>
        <v>Japan</v>
      </c>
      <c r="D5" t="s">
        <v>32</v>
      </c>
      <c r="E5" t="s">
        <v>11</v>
      </c>
      <c r="F5" t="s">
        <v>33</v>
      </c>
      <c r="G5" t="s">
        <v>34</v>
      </c>
      <c r="H5">
        <f t="shared" si="0"/>
        <v>0</v>
      </c>
      <c r="I5" t="s">
        <v>35</v>
      </c>
      <c r="J5">
        <f t="shared" si="1"/>
        <v>1</v>
      </c>
      <c r="K5" t="s">
        <v>36</v>
      </c>
      <c r="L5">
        <f>IF(OR(ISBLANK(F5),ISBLANK(J5)),"TBD",K5-F5)</f>
        <v>12</v>
      </c>
      <c r="M5" t="s">
        <v>37</v>
      </c>
    </row>
    <row r="6" spans="1:13" x14ac:dyDescent="0.3">
      <c r="A6" t="s">
        <v>38</v>
      </c>
      <c r="B6" t="s">
        <v>39</v>
      </c>
      <c r="C6" t="str">
        <f t="shared" si="2"/>
        <v>Germany</v>
      </c>
      <c r="D6" t="s">
        <v>19</v>
      </c>
      <c r="E6" t="s">
        <v>11</v>
      </c>
      <c r="F6" t="s">
        <v>40</v>
      </c>
      <c r="G6" t="s">
        <v>13</v>
      </c>
      <c r="H6">
        <f t="shared" si="0"/>
        <v>1</v>
      </c>
      <c r="I6" t="s">
        <v>14</v>
      </c>
      <c r="J6">
        <f t="shared" si="1"/>
        <v>3</v>
      </c>
      <c r="K6" t="s">
        <v>41</v>
      </c>
      <c r="L6">
        <f>IF(OR(ISBLANK(F6),ISBLANK(J6)),"TBD",K6-F6)</f>
        <v>31</v>
      </c>
      <c r="M6" t="s">
        <v>42</v>
      </c>
    </row>
    <row r="7" spans="1:13" x14ac:dyDescent="0.3">
      <c r="A7" t="s">
        <v>43</v>
      </c>
      <c r="B7" t="s">
        <v>44</v>
      </c>
      <c r="C7" t="str">
        <f t="shared" si="2"/>
        <v>Australia</v>
      </c>
      <c r="D7" t="s">
        <v>32</v>
      </c>
      <c r="E7" t="s">
        <v>11</v>
      </c>
      <c r="F7" t="s">
        <v>45</v>
      </c>
      <c r="G7" t="s">
        <v>21</v>
      </c>
      <c r="H7">
        <f t="shared" si="0"/>
        <v>0</v>
      </c>
      <c r="I7" t="s">
        <v>22</v>
      </c>
      <c r="J7">
        <f t="shared" si="1"/>
        <v>2</v>
      </c>
      <c r="M7" t="s">
        <v>46</v>
      </c>
    </row>
    <row r="8" spans="1:13" x14ac:dyDescent="0.3">
      <c r="A8" t="s">
        <v>47</v>
      </c>
      <c r="B8" t="s">
        <v>48</v>
      </c>
      <c r="C8" t="str">
        <f t="shared" si="2"/>
        <v>Canada</v>
      </c>
      <c r="D8" t="s">
        <v>10</v>
      </c>
      <c r="E8" t="s">
        <v>11</v>
      </c>
      <c r="F8" t="s">
        <v>49</v>
      </c>
      <c r="G8" t="s">
        <v>13</v>
      </c>
      <c r="H8">
        <f t="shared" si="0"/>
        <v>1</v>
      </c>
      <c r="I8" t="s">
        <v>14</v>
      </c>
      <c r="J8">
        <f t="shared" si="1"/>
        <v>3</v>
      </c>
      <c r="K8" t="s">
        <v>50</v>
      </c>
      <c r="L8">
        <f>IF(OR(ISBLANK(F8),ISBLANK(J8)),"TBD",K8-F8)</f>
        <v>28</v>
      </c>
      <c r="M8" t="s">
        <v>51</v>
      </c>
    </row>
    <row r="9" spans="1:13" x14ac:dyDescent="0.3">
      <c r="A9" t="s">
        <v>52</v>
      </c>
      <c r="B9" t="s">
        <v>53</v>
      </c>
      <c r="C9" t="str">
        <f t="shared" si="2"/>
        <v>Brazil</v>
      </c>
      <c r="D9" t="s">
        <v>54</v>
      </c>
      <c r="E9" t="s">
        <v>11</v>
      </c>
      <c r="F9" t="s">
        <v>55</v>
      </c>
      <c r="G9" t="s">
        <v>21</v>
      </c>
      <c r="H9">
        <f t="shared" si="0"/>
        <v>0</v>
      </c>
      <c r="I9" t="s">
        <v>35</v>
      </c>
      <c r="J9">
        <f t="shared" si="1"/>
        <v>1</v>
      </c>
      <c r="K9" t="s">
        <v>56</v>
      </c>
      <c r="L9">
        <f>IF(OR(ISBLANK(F9),ISBLANK(J9)),"TBD",K9-F9)</f>
        <v>8</v>
      </c>
      <c r="M9" t="s">
        <v>57</v>
      </c>
    </row>
    <row r="10" spans="1:13" x14ac:dyDescent="0.3">
      <c r="A10" t="s">
        <v>58</v>
      </c>
      <c r="B10" t="s">
        <v>59</v>
      </c>
      <c r="C10" t="str">
        <f t="shared" si="2"/>
        <v>South Africa</v>
      </c>
      <c r="D10" t="s">
        <v>60</v>
      </c>
      <c r="E10" t="s">
        <v>11</v>
      </c>
      <c r="F10" t="s">
        <v>61</v>
      </c>
      <c r="G10" t="s">
        <v>13</v>
      </c>
      <c r="H10">
        <f t="shared" si="0"/>
        <v>1</v>
      </c>
      <c r="I10" t="s">
        <v>22</v>
      </c>
      <c r="J10">
        <f t="shared" si="1"/>
        <v>2</v>
      </c>
      <c r="K10" t="s">
        <v>62</v>
      </c>
      <c r="L10">
        <f>IF(OR(ISBLANK(F10),ISBLANK(J10)),"TBD",K10-F10)</f>
        <v>24</v>
      </c>
      <c r="M10" t="s">
        <v>63</v>
      </c>
    </row>
    <row r="11" spans="1:13" x14ac:dyDescent="0.3">
      <c r="A11" t="s">
        <v>64</v>
      </c>
      <c r="B11" t="s">
        <v>65</v>
      </c>
      <c r="C11" t="str">
        <f t="shared" si="2"/>
        <v>UAE</v>
      </c>
      <c r="D11" t="s">
        <v>66</v>
      </c>
      <c r="E11" t="s">
        <v>11</v>
      </c>
      <c r="F11" t="s">
        <v>67</v>
      </c>
      <c r="G11" t="s">
        <v>13</v>
      </c>
      <c r="H11">
        <f t="shared" si="0"/>
        <v>1</v>
      </c>
      <c r="I11" t="s">
        <v>14</v>
      </c>
      <c r="J11">
        <f t="shared" si="1"/>
        <v>3</v>
      </c>
      <c r="K11" t="s">
        <v>68</v>
      </c>
      <c r="L11">
        <f>IF(OR(ISBLANK(F11),ISBLANK(J11)),"TBD",K11-F11)</f>
        <v>23</v>
      </c>
      <c r="M11" t="s">
        <v>69</v>
      </c>
    </row>
    <row r="12" spans="1:13" x14ac:dyDescent="0.3">
      <c r="A12" t="s">
        <v>70</v>
      </c>
      <c r="B12" t="s">
        <v>71</v>
      </c>
      <c r="C12" t="str">
        <f t="shared" si="2"/>
        <v>Singapore</v>
      </c>
      <c r="D12" t="s">
        <v>32</v>
      </c>
      <c r="E12" t="s">
        <v>11</v>
      </c>
      <c r="F12" t="s">
        <v>56</v>
      </c>
      <c r="G12" t="s">
        <v>13</v>
      </c>
      <c r="H12">
        <f t="shared" si="0"/>
        <v>1</v>
      </c>
      <c r="I12" t="s">
        <v>14</v>
      </c>
      <c r="J12">
        <f t="shared" si="1"/>
        <v>3</v>
      </c>
      <c r="K12" t="s">
        <v>72</v>
      </c>
      <c r="L12">
        <f>IF(OR(ISBLANK(F12),ISBLANK(J12)),"TBD",K12-F12)</f>
        <v>22</v>
      </c>
      <c r="M12" t="s">
        <v>73</v>
      </c>
    </row>
    <row r="13" spans="1:13" x14ac:dyDescent="0.3">
      <c r="A13" t="s">
        <v>74</v>
      </c>
      <c r="B13" t="s">
        <v>75</v>
      </c>
      <c r="C13" t="str">
        <f t="shared" si="2"/>
        <v>Italy</v>
      </c>
      <c r="D13" t="s">
        <v>19</v>
      </c>
      <c r="E13" t="s">
        <v>11</v>
      </c>
      <c r="F13" t="s">
        <v>90</v>
      </c>
      <c r="G13" t="s">
        <v>21</v>
      </c>
      <c r="H13">
        <f t="shared" si="0"/>
        <v>0</v>
      </c>
      <c r="I13" t="s">
        <v>35</v>
      </c>
      <c r="J13">
        <f t="shared" si="1"/>
        <v>1</v>
      </c>
      <c r="M13" t="s">
        <v>76</v>
      </c>
    </row>
    <row r="14" spans="1:13" x14ac:dyDescent="0.3">
      <c r="A14" t="s">
        <v>77</v>
      </c>
      <c r="B14" t="s">
        <v>78</v>
      </c>
      <c r="C14" t="str">
        <f t="shared" si="2"/>
        <v>South Korea</v>
      </c>
      <c r="D14" t="s">
        <v>32</v>
      </c>
      <c r="E14" t="s">
        <v>11</v>
      </c>
      <c r="F14" t="s">
        <v>79</v>
      </c>
      <c r="G14" t="s">
        <v>13</v>
      </c>
      <c r="H14">
        <f t="shared" si="0"/>
        <v>1</v>
      </c>
      <c r="I14" t="s">
        <v>22</v>
      </c>
      <c r="J14">
        <f t="shared" si="1"/>
        <v>2</v>
      </c>
      <c r="K14" t="s">
        <v>80</v>
      </c>
      <c r="L14">
        <f>IF(OR(ISBLANK(F14),ISBLANK(J14)),"TBD",K14-F14)</f>
        <v>18</v>
      </c>
      <c r="M14" t="s">
        <v>81</v>
      </c>
    </row>
    <row r="15" spans="1:13" x14ac:dyDescent="0.3">
      <c r="A15" t="s">
        <v>82</v>
      </c>
      <c r="B15" t="s">
        <v>83</v>
      </c>
      <c r="C15" t="str">
        <f t="shared" si="2"/>
        <v>Russia</v>
      </c>
      <c r="D15" t="s">
        <v>19</v>
      </c>
      <c r="E15" t="s">
        <v>11</v>
      </c>
      <c r="F15" t="s">
        <v>15</v>
      </c>
      <c r="G15" t="s">
        <v>34</v>
      </c>
      <c r="H15">
        <f t="shared" si="0"/>
        <v>0</v>
      </c>
      <c r="I15" t="s">
        <v>35</v>
      </c>
      <c r="J15">
        <f t="shared" si="1"/>
        <v>1</v>
      </c>
      <c r="K15" t="s">
        <v>41</v>
      </c>
      <c r="L15">
        <f>IF(OR(ISBLANK(F15),ISBLANK(J15)),"TBD",K15-F15)</f>
        <v>8</v>
      </c>
      <c r="M15" t="s">
        <v>84</v>
      </c>
    </row>
    <row r="16" spans="1:13" x14ac:dyDescent="0.3">
      <c r="A16" t="s">
        <v>85</v>
      </c>
      <c r="B16" t="s">
        <v>86</v>
      </c>
      <c r="C16" t="str">
        <f t="shared" si="2"/>
        <v>Argentina</v>
      </c>
      <c r="D16" t="s">
        <v>54</v>
      </c>
      <c r="E16" t="s">
        <v>11</v>
      </c>
      <c r="F16" t="s">
        <v>23</v>
      </c>
      <c r="G16" t="s">
        <v>21</v>
      </c>
      <c r="H16">
        <f t="shared" si="0"/>
        <v>0</v>
      </c>
      <c r="I16" t="s">
        <v>35</v>
      </c>
      <c r="J16">
        <f t="shared" si="1"/>
        <v>1</v>
      </c>
      <c r="M16" t="s">
        <v>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DAD3A-97CD-4F7E-B4DD-DB4EA347C71B}">
  <dimension ref="A1:D20"/>
  <sheetViews>
    <sheetView workbookViewId="0">
      <selection activeCell="C30" sqref="C30"/>
    </sheetView>
  </sheetViews>
  <sheetFormatPr defaultRowHeight="14.4" x14ac:dyDescent="0.3"/>
  <cols>
    <col min="1" max="1" width="12.5546875" bestFit="1" customWidth="1"/>
    <col min="2" max="2" width="19.109375" bestFit="1" customWidth="1"/>
    <col min="3" max="3" width="27.21875" bestFit="1" customWidth="1"/>
    <col min="4" max="4" width="24.44140625" bestFit="1" customWidth="1"/>
    <col min="5" max="16" width="8.5546875" bestFit="1" customWidth="1"/>
    <col min="17" max="17" width="10.77734375" bestFit="1" customWidth="1"/>
  </cols>
  <sheetData>
    <row r="1" spans="1:4" x14ac:dyDescent="0.3">
      <c r="A1" s="2" t="s">
        <v>93</v>
      </c>
      <c r="B1" t="s">
        <v>95</v>
      </c>
    </row>
    <row r="2" spans="1:4" x14ac:dyDescent="0.3">
      <c r="A2" s="3" t="s">
        <v>13</v>
      </c>
      <c r="B2">
        <v>8</v>
      </c>
    </row>
    <row r="3" spans="1:4" x14ac:dyDescent="0.3">
      <c r="A3" s="3" t="s">
        <v>34</v>
      </c>
      <c r="B3">
        <v>2</v>
      </c>
    </row>
    <row r="4" spans="1:4" x14ac:dyDescent="0.3">
      <c r="A4" s="3" t="s">
        <v>21</v>
      </c>
      <c r="B4">
        <v>5</v>
      </c>
    </row>
    <row r="5" spans="1:4" x14ac:dyDescent="0.3">
      <c r="A5" s="3" t="s">
        <v>94</v>
      </c>
      <c r="B5">
        <v>15</v>
      </c>
    </row>
    <row r="7" spans="1:4" x14ac:dyDescent="0.3">
      <c r="A7" s="2" t="s">
        <v>93</v>
      </c>
      <c r="B7" t="s">
        <v>95</v>
      </c>
      <c r="C7" s="8" t="s">
        <v>98</v>
      </c>
      <c r="D7" s="5" t="s">
        <v>97</v>
      </c>
    </row>
    <row r="8" spans="1:4" x14ac:dyDescent="0.3">
      <c r="A8" s="3" t="s">
        <v>60</v>
      </c>
      <c r="B8">
        <v>1</v>
      </c>
      <c r="C8" s="8">
        <v>1</v>
      </c>
      <c r="D8" s="5">
        <v>24</v>
      </c>
    </row>
    <row r="9" spans="1:4" x14ac:dyDescent="0.3">
      <c r="A9" s="3" t="s">
        <v>66</v>
      </c>
      <c r="B9">
        <v>1</v>
      </c>
      <c r="C9" s="8">
        <v>1</v>
      </c>
      <c r="D9" s="5">
        <v>23</v>
      </c>
    </row>
    <row r="10" spans="1:4" x14ac:dyDescent="0.3">
      <c r="A10" s="3" t="s">
        <v>10</v>
      </c>
      <c r="B10">
        <v>2</v>
      </c>
      <c r="C10" s="8">
        <v>1</v>
      </c>
      <c r="D10" s="5">
        <v>30.5</v>
      </c>
    </row>
    <row r="11" spans="1:4" x14ac:dyDescent="0.3">
      <c r="A11" s="3" t="s">
        <v>54</v>
      </c>
      <c r="B11" s="7">
        <v>2</v>
      </c>
      <c r="C11" s="8">
        <v>0</v>
      </c>
      <c r="D11" s="5">
        <v>8</v>
      </c>
    </row>
    <row r="12" spans="1:4" x14ac:dyDescent="0.3">
      <c r="A12" s="3" t="s">
        <v>32</v>
      </c>
      <c r="B12">
        <v>4</v>
      </c>
      <c r="C12" s="8">
        <v>0.5</v>
      </c>
      <c r="D12" s="5">
        <v>17.333333333333332</v>
      </c>
    </row>
    <row r="13" spans="1:4" x14ac:dyDescent="0.3">
      <c r="A13" s="3" t="s">
        <v>19</v>
      </c>
      <c r="B13">
        <v>5</v>
      </c>
      <c r="C13" s="8">
        <v>0.4</v>
      </c>
      <c r="D13" s="5">
        <v>26.75</v>
      </c>
    </row>
    <row r="14" spans="1:4" x14ac:dyDescent="0.3">
      <c r="A14" s="3" t="s">
        <v>94</v>
      </c>
      <c r="B14">
        <v>15</v>
      </c>
      <c r="C14" s="8">
        <v>0.53333333333333333</v>
      </c>
      <c r="D14" s="5">
        <v>22.916666666666668</v>
      </c>
    </row>
    <row r="16" spans="1:4" x14ac:dyDescent="0.3">
      <c r="A16" s="2" t="s">
        <v>93</v>
      </c>
      <c r="B16" t="s">
        <v>95</v>
      </c>
      <c r="C16" t="s">
        <v>99</v>
      </c>
    </row>
    <row r="17" spans="1:3" x14ac:dyDescent="0.3">
      <c r="A17" s="3" t="s">
        <v>14</v>
      </c>
      <c r="B17">
        <v>6</v>
      </c>
      <c r="C17" s="6">
        <v>3</v>
      </c>
    </row>
    <row r="18" spans="1:3" x14ac:dyDescent="0.3">
      <c r="A18" s="3" t="s">
        <v>35</v>
      </c>
      <c r="B18">
        <v>5</v>
      </c>
      <c r="C18" s="6">
        <v>1</v>
      </c>
    </row>
    <row r="19" spans="1:3" x14ac:dyDescent="0.3">
      <c r="A19" s="3" t="s">
        <v>22</v>
      </c>
      <c r="B19">
        <v>4</v>
      </c>
      <c r="C19" s="6">
        <v>2</v>
      </c>
    </row>
    <row r="20" spans="1:3" x14ac:dyDescent="0.3">
      <c r="A20" s="3" t="s">
        <v>94</v>
      </c>
      <c r="B20">
        <v>15</v>
      </c>
      <c r="C20" s="6">
        <v>2.0666666666666669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33EF-0C99-4036-AE67-BB443497E73C}">
  <dimension ref="A1:I11"/>
  <sheetViews>
    <sheetView showGridLines="0" workbookViewId="0">
      <selection activeCell="E18" sqref="E18"/>
    </sheetView>
  </sheetViews>
  <sheetFormatPr defaultRowHeight="14.4" x14ac:dyDescent="0.3"/>
  <cols>
    <col min="2" max="2" width="13.109375" bestFit="1" customWidth="1"/>
    <col min="3" max="3" width="30.33203125" customWidth="1"/>
    <col min="4" max="4" width="11.33203125" bestFit="1" customWidth="1"/>
    <col min="5" max="5" width="23" style="12" customWidth="1"/>
    <col min="6" max="6" width="8.33203125" bestFit="1" customWidth="1"/>
    <col min="7" max="7" width="16.5546875" customWidth="1"/>
    <col min="8" max="8" width="10.5546875" bestFit="1" customWidth="1"/>
    <col min="12" max="12" width="16.33203125" bestFit="1" customWidth="1"/>
    <col min="14" max="14" width="25.88671875" bestFit="1" customWidth="1"/>
  </cols>
  <sheetData>
    <row r="1" spans="1:9" ht="15" thickBot="1" x14ac:dyDescent="0.35"/>
    <row r="2" spans="1:9" x14ac:dyDescent="0.3">
      <c r="B2" s="19" t="s">
        <v>110</v>
      </c>
      <c r="C2" s="20"/>
      <c r="D2" s="20"/>
      <c r="E2" s="20"/>
      <c r="F2" s="20"/>
      <c r="G2" s="20"/>
      <c r="H2" s="21"/>
    </row>
    <row r="3" spans="1:9" x14ac:dyDescent="0.3">
      <c r="A3" s="22"/>
      <c r="B3" s="22"/>
      <c r="C3" s="22"/>
      <c r="D3" s="22"/>
      <c r="E3" s="23"/>
      <c r="F3" s="22"/>
      <c r="G3" s="22"/>
      <c r="H3" s="22"/>
      <c r="I3" s="22"/>
    </row>
    <row r="4" spans="1:9" x14ac:dyDescent="0.3">
      <c r="B4" s="29" t="s">
        <v>111</v>
      </c>
      <c r="C4" s="29" t="s">
        <v>112</v>
      </c>
      <c r="D4" s="29" t="s">
        <v>113</v>
      </c>
      <c r="E4" s="30" t="s">
        <v>114</v>
      </c>
      <c r="F4" s="29" t="s">
        <v>4</v>
      </c>
      <c r="G4" s="29" t="s">
        <v>117</v>
      </c>
      <c r="H4" s="29" t="s">
        <v>118</v>
      </c>
    </row>
    <row r="5" spans="1:9" ht="43.2" x14ac:dyDescent="0.3">
      <c r="B5" s="24" t="s">
        <v>115</v>
      </c>
      <c r="C5" s="25" t="s">
        <v>120</v>
      </c>
      <c r="D5" s="26" t="s">
        <v>35</v>
      </c>
      <c r="E5" s="25" t="s">
        <v>119</v>
      </c>
      <c r="F5" s="26" t="s">
        <v>116</v>
      </c>
      <c r="G5" s="25" t="s">
        <v>125</v>
      </c>
      <c r="H5" s="27">
        <v>46301</v>
      </c>
    </row>
    <row r="6" spans="1:9" ht="43.2" x14ac:dyDescent="0.3">
      <c r="B6" s="25" t="s">
        <v>121</v>
      </c>
      <c r="C6" s="25" t="s">
        <v>122</v>
      </c>
      <c r="D6" s="26" t="s">
        <v>22</v>
      </c>
      <c r="E6" s="25" t="s">
        <v>123</v>
      </c>
      <c r="F6" s="28" t="s">
        <v>124</v>
      </c>
      <c r="G6" s="25" t="s">
        <v>74</v>
      </c>
      <c r="H6" s="27">
        <v>46301</v>
      </c>
    </row>
    <row r="7" spans="1:9" ht="43.2" x14ac:dyDescent="0.3">
      <c r="B7" s="25" t="s">
        <v>126</v>
      </c>
      <c r="C7" s="25" t="s">
        <v>127</v>
      </c>
      <c r="D7" s="26" t="s">
        <v>22</v>
      </c>
      <c r="E7" s="25" t="s">
        <v>129</v>
      </c>
      <c r="F7" s="28" t="s">
        <v>124</v>
      </c>
      <c r="G7" s="25" t="s">
        <v>128</v>
      </c>
      <c r="H7" s="27">
        <v>46301</v>
      </c>
    </row>
    <row r="8" spans="1:9" ht="57.6" x14ac:dyDescent="0.3">
      <c r="B8" s="24" t="s">
        <v>130</v>
      </c>
      <c r="C8" s="25" t="s">
        <v>131</v>
      </c>
      <c r="D8" s="26" t="s">
        <v>14</v>
      </c>
      <c r="E8" s="25" t="s">
        <v>133</v>
      </c>
      <c r="F8" s="26" t="s">
        <v>116</v>
      </c>
      <c r="G8" s="25" t="s">
        <v>132</v>
      </c>
      <c r="H8" s="27">
        <v>46301</v>
      </c>
    </row>
    <row r="11" spans="1:9" x14ac:dyDescent="0.3">
      <c r="G11" s="12"/>
    </row>
  </sheetData>
  <mergeCells count="1">
    <mergeCell ref="B2:H2"/>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E887-A357-4745-86C1-96EFFBC3E892}">
  <dimension ref="B1:K30"/>
  <sheetViews>
    <sheetView showGridLines="0" tabSelected="1" topLeftCell="A7" zoomScale="91" zoomScaleNormal="91" workbookViewId="0">
      <selection activeCell="R19" sqref="R19"/>
    </sheetView>
  </sheetViews>
  <sheetFormatPr defaultRowHeight="14.4" x14ac:dyDescent="0.3"/>
  <cols>
    <col min="10" max="10" width="10.5546875" customWidth="1"/>
    <col min="11" max="11" width="9" customWidth="1"/>
    <col min="15" max="15" width="12.88671875" bestFit="1" customWidth="1"/>
    <col min="16" max="16" width="19.109375" bestFit="1" customWidth="1"/>
    <col min="17" max="17" width="17.33203125" bestFit="1" customWidth="1"/>
    <col min="18" max="18" width="24.44140625" bestFit="1" customWidth="1"/>
  </cols>
  <sheetData>
    <row r="1" spans="2:11" x14ac:dyDescent="0.3">
      <c r="B1" s="9" t="s">
        <v>100</v>
      </c>
      <c r="C1" s="10"/>
      <c r="D1" s="10"/>
      <c r="E1" s="10"/>
      <c r="F1" s="10"/>
      <c r="G1" s="10"/>
      <c r="H1" s="10"/>
      <c r="I1" s="10"/>
      <c r="J1" s="10"/>
      <c r="K1" s="10"/>
    </row>
    <row r="2" spans="2:11" x14ac:dyDescent="0.3">
      <c r="B2" s="10"/>
      <c r="C2" s="10"/>
      <c r="D2" s="10"/>
      <c r="E2" s="10"/>
      <c r="F2" s="10"/>
      <c r="G2" s="10"/>
      <c r="H2" s="10"/>
      <c r="I2" s="10"/>
      <c r="J2" s="10"/>
      <c r="K2" s="10"/>
    </row>
    <row r="3" spans="2:11" ht="15" thickBot="1" x14ac:dyDescent="0.35">
      <c r="B3" s="11" t="s">
        <v>101</v>
      </c>
      <c r="C3" s="11"/>
      <c r="D3" s="11" t="s">
        <v>102</v>
      </c>
      <c r="E3" s="11"/>
      <c r="F3" s="11" t="s">
        <v>103</v>
      </c>
      <c r="G3" s="11"/>
      <c r="H3" s="11" t="s">
        <v>104</v>
      </c>
      <c r="I3" s="11"/>
      <c r="J3" s="11" t="s">
        <v>105</v>
      </c>
      <c r="K3" s="11"/>
    </row>
    <row r="4" spans="2:11" x14ac:dyDescent="0.3">
      <c r="B4" s="31">
        <f>Summary_View!B5</f>
        <v>15</v>
      </c>
      <c r="C4" s="32"/>
      <c r="D4" s="31">
        <f>Summary_View!B2</f>
        <v>8</v>
      </c>
      <c r="E4" s="32"/>
      <c r="F4" s="31">
        <f>Summary_View!B4</f>
        <v>5</v>
      </c>
      <c r="G4" s="32"/>
      <c r="H4" s="31">
        <f>Summary_View!B3</f>
        <v>2</v>
      </c>
      <c r="I4" s="32"/>
      <c r="J4" s="33">
        <f>D4 / B4</f>
        <v>0.53333333333333333</v>
      </c>
      <c r="K4" s="34"/>
    </row>
    <row r="5" spans="2:11" ht="15" thickBot="1" x14ac:dyDescent="0.35">
      <c r="B5" s="35"/>
      <c r="C5" s="36"/>
      <c r="D5" s="35"/>
      <c r="E5" s="36"/>
      <c r="F5" s="35"/>
      <c r="G5" s="36"/>
      <c r="H5" s="35"/>
      <c r="I5" s="36"/>
      <c r="J5" s="37"/>
      <c r="K5" s="38"/>
    </row>
    <row r="22" spans="2:11" ht="21" x14ac:dyDescent="0.3">
      <c r="B22" s="9" t="s">
        <v>106</v>
      </c>
      <c r="C22" s="10"/>
      <c r="D22" s="10"/>
      <c r="E22" s="10"/>
      <c r="F22" s="10"/>
      <c r="G22" s="10"/>
      <c r="H22" s="10"/>
      <c r="I22" s="10"/>
      <c r="J22" s="10"/>
      <c r="K22" s="10"/>
    </row>
    <row r="23" spans="2:11" x14ac:dyDescent="0.3">
      <c r="B23" s="41" t="s">
        <v>2</v>
      </c>
      <c r="C23" s="41"/>
      <c r="D23" s="41" t="s">
        <v>107</v>
      </c>
      <c r="E23" s="41"/>
      <c r="F23" s="41" t="s">
        <v>102</v>
      </c>
      <c r="G23" s="41"/>
      <c r="H23" s="41" t="s">
        <v>108</v>
      </c>
      <c r="I23" s="41"/>
      <c r="J23" s="41" t="s">
        <v>109</v>
      </c>
      <c r="K23" s="41"/>
    </row>
    <row r="24" spans="2:11" x14ac:dyDescent="0.3">
      <c r="B24" s="14" t="s">
        <v>60</v>
      </c>
      <c r="C24" s="14"/>
      <c r="D24" s="14">
        <v>1</v>
      </c>
      <c r="E24" s="14"/>
      <c r="F24" s="14">
        <v>1</v>
      </c>
      <c r="G24" s="14"/>
      <c r="H24" s="39">
        <v>1</v>
      </c>
      <c r="I24" s="14"/>
      <c r="J24" s="40">
        <v>24</v>
      </c>
      <c r="K24" s="40"/>
    </row>
    <row r="25" spans="2:11" x14ac:dyDescent="0.3">
      <c r="B25" s="14" t="s">
        <v>66</v>
      </c>
      <c r="C25" s="14"/>
      <c r="D25" s="14">
        <v>1</v>
      </c>
      <c r="E25" s="14"/>
      <c r="F25" s="14">
        <v>1</v>
      </c>
      <c r="G25" s="14"/>
      <c r="H25" s="39">
        <v>1</v>
      </c>
      <c r="I25" s="14"/>
      <c r="J25" s="40">
        <v>23</v>
      </c>
      <c r="K25" s="40"/>
    </row>
    <row r="26" spans="2:11" x14ac:dyDescent="0.3">
      <c r="B26" s="14" t="s">
        <v>10</v>
      </c>
      <c r="C26" s="14"/>
      <c r="D26" s="14">
        <v>2</v>
      </c>
      <c r="E26" s="14"/>
      <c r="F26" s="14">
        <v>2</v>
      </c>
      <c r="G26" s="14"/>
      <c r="H26" s="39">
        <v>1</v>
      </c>
      <c r="I26" s="14"/>
      <c r="J26" s="40">
        <v>30.5</v>
      </c>
      <c r="K26" s="40"/>
    </row>
    <row r="27" spans="2:11" x14ac:dyDescent="0.3">
      <c r="B27" s="14" t="s">
        <v>54</v>
      </c>
      <c r="C27" s="14"/>
      <c r="D27" s="14">
        <v>2</v>
      </c>
      <c r="E27" s="14"/>
      <c r="F27" s="14">
        <v>0</v>
      </c>
      <c r="G27" s="14"/>
      <c r="H27" s="39">
        <v>0</v>
      </c>
      <c r="I27" s="14"/>
      <c r="J27" s="40">
        <v>8</v>
      </c>
      <c r="K27" s="40"/>
    </row>
    <row r="28" spans="2:11" x14ac:dyDescent="0.3">
      <c r="B28" s="14" t="s">
        <v>32</v>
      </c>
      <c r="C28" s="14"/>
      <c r="D28" s="14">
        <v>4</v>
      </c>
      <c r="E28" s="14"/>
      <c r="F28" s="14">
        <v>2</v>
      </c>
      <c r="G28" s="14"/>
      <c r="H28" s="39">
        <v>0.5</v>
      </c>
      <c r="I28" s="14"/>
      <c r="J28" s="40">
        <v>17.329999999999998</v>
      </c>
      <c r="K28" s="40"/>
    </row>
    <row r="29" spans="2:11" x14ac:dyDescent="0.3">
      <c r="B29" s="14" t="s">
        <v>19</v>
      </c>
      <c r="C29" s="14"/>
      <c r="D29" s="14">
        <v>5</v>
      </c>
      <c r="E29" s="14"/>
      <c r="F29" s="14">
        <v>2</v>
      </c>
      <c r="G29" s="14"/>
      <c r="H29" s="39">
        <v>0.4</v>
      </c>
      <c r="I29" s="14"/>
      <c r="J29" s="40">
        <v>26.75</v>
      </c>
      <c r="K29" s="40"/>
    </row>
    <row r="30" spans="2:11" x14ac:dyDescent="0.3">
      <c r="B30" s="41" t="s">
        <v>94</v>
      </c>
      <c r="C30" s="41"/>
      <c r="D30" s="41">
        <v>15</v>
      </c>
      <c r="E30" s="41"/>
      <c r="F30" s="41">
        <v>8</v>
      </c>
      <c r="G30" s="41"/>
      <c r="H30" s="42">
        <v>0.5333</v>
      </c>
      <c r="I30" s="41"/>
      <c r="J30" s="43">
        <v>22.92</v>
      </c>
      <c r="K30" s="43"/>
    </row>
  </sheetData>
  <mergeCells count="52">
    <mergeCell ref="B24:C24"/>
    <mergeCell ref="B25:C25"/>
    <mergeCell ref="B1:K2"/>
    <mergeCell ref="B3:C3"/>
    <mergeCell ref="B4:C5"/>
    <mergeCell ref="D3:E3"/>
    <mergeCell ref="D4:E5"/>
    <mergeCell ref="F3:G3"/>
    <mergeCell ref="F4:G5"/>
    <mergeCell ref="H3:I3"/>
    <mergeCell ref="H4:I5"/>
    <mergeCell ref="J3:K3"/>
    <mergeCell ref="J4:K5"/>
    <mergeCell ref="B22:K22"/>
    <mergeCell ref="B23:C23"/>
    <mergeCell ref="D23:E23"/>
    <mergeCell ref="F23:G23"/>
    <mergeCell ref="H23:I23"/>
    <mergeCell ref="J23:K23"/>
    <mergeCell ref="B26:C26"/>
    <mergeCell ref="B27:C27"/>
    <mergeCell ref="B28:C28"/>
    <mergeCell ref="B29:C29"/>
    <mergeCell ref="B30:C30"/>
    <mergeCell ref="J25:K25"/>
    <mergeCell ref="J24:K24"/>
    <mergeCell ref="D29:E29"/>
    <mergeCell ref="D30:E30"/>
    <mergeCell ref="H24:I24"/>
    <mergeCell ref="H25:I25"/>
    <mergeCell ref="H26:I26"/>
    <mergeCell ref="D24:E24"/>
    <mergeCell ref="D25:E25"/>
    <mergeCell ref="D26:E26"/>
    <mergeCell ref="D27:E27"/>
    <mergeCell ref="D28:E28"/>
    <mergeCell ref="J30:K30"/>
    <mergeCell ref="J29:K29"/>
    <mergeCell ref="F24:G24"/>
    <mergeCell ref="F25:G25"/>
    <mergeCell ref="F26:G26"/>
    <mergeCell ref="F27:G27"/>
    <mergeCell ref="F28:G28"/>
    <mergeCell ref="F29:G29"/>
    <mergeCell ref="H29:I29"/>
    <mergeCell ref="F30:G30"/>
    <mergeCell ref="H30:I30"/>
    <mergeCell ref="J26:K26"/>
    <mergeCell ref="H27:I27"/>
    <mergeCell ref="J27:K27"/>
    <mergeCell ref="H28:I28"/>
    <mergeCell ref="J28:K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Project_Summary</vt:lpstr>
      <vt:lpstr>Database</vt:lpstr>
      <vt:lpstr>Summary_View</vt:lpstr>
      <vt:lpstr>Data Quality Review</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YADAV</cp:lastModifiedBy>
  <dcterms:created xsi:type="dcterms:W3CDTF">2026-10-05T10:59:41Z</dcterms:created>
  <dcterms:modified xsi:type="dcterms:W3CDTF">2026-10-06T18:44:10Z</dcterms:modified>
</cp:coreProperties>
</file>